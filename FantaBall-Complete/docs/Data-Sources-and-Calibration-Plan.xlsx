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_Sources" sheetId="2" state="visible" r:id="rId4"/>
    <sheet name="Historical_Data" sheetId="3" state="visible" r:id="rId5"/>
    <sheet name="Model_Parameters" sheetId="4" state="visible" r:id="rId6"/>
    <sheet name="Connectivity_Test" sheetId="5" state="visible" r:id="rId7"/>
    <sheet name="Plan" sheetId="6" state="visible" r:id="rId8"/>
    <sheet name="Needs_From_You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<sst xmlns="http://schemas.openxmlformats.org/spreadsheetml/2006/main" count="898" uniqueCount="552">
  <si>
    <t xml:space="preserve">FantaBall — data sources and calibration plan</t>
  </si>
  <si>
    <t xml:space="preserve">Updated 23-Oct-2026: historical data downloaded (2015-16 →), injuries calibrated from FotMob, standard scoring rules adopted.</t>
  </si>
  <si>
    <t xml:space="preserve">Data items</t>
  </si>
  <si>
    <t xml:space="preserve">Count</t>
  </si>
  <si>
    <t xml:space="preserve">Solvable now with no input from you</t>
  </si>
  <si>
    <t xml:space="preserve">Partly solvable now</t>
  </si>
  <si>
    <t xml:space="preserve">Needs something from you</t>
  </si>
  <si>
    <t xml:space="preserve">Total</t>
  </si>
  <si>
    <t xml:space="preserve">Critical items still blocked</t>
  </si>
  <si>
    <t xml:space="preserve">Model parameters</t>
  </si>
  <si>
    <t xml:space="preserve">Calibrable now</t>
  </si>
  <si>
    <t xml:space="preserve">Partly calibrable now</t>
  </si>
  <si>
    <t xml:space="preserve">Need blocked data</t>
  </si>
  <si>
    <t xml:space="preserve">How to read this workbook</t>
  </si>
  <si>
    <t xml:space="preserve">Historical_Data: every downloaded dataset with seasons and row counts (for backtesting).</t>
  </si>
  <si>
    <t xml:space="preserve">Data_Sources: one row per input the simulation needs, where it would come from, whether it is reachable here, and the fallback.</t>
  </si>
  <si>
    <t xml:space="preserve">Model_Parameters: every setting in engine.js MODEL plus per-team and per-player inputs, with how each will be calibrated.</t>
  </si>
  <si>
    <t xml:space="preserve">Connectivity_Test: what was reachable from this environment.</t>
  </si>
  <si>
    <t xml:space="preserve">Plan: the steps, in order; phase A needs nothing from you.</t>
  </si>
  <si>
    <t xml:space="preserve">Needs_From_You: the one-time items that unlock the rest.</t>
  </si>
  <si>
    <t xml:space="preserve">Colours: green = Yes, amber = Partial, red = No.</t>
  </si>
  <si>
    <t xml:space="preserve">ID</t>
  </si>
  <si>
    <t xml:space="preserve">Category</t>
  </si>
  <si>
    <t xml:space="preserve">Data item</t>
  </si>
  <si>
    <t xml:space="preserve">Engine input(s) it feeds</t>
  </si>
  <si>
    <t xml:space="preserve">Current state in engine</t>
  </si>
  <si>
    <t xml:space="preserve">Priority</t>
  </si>
  <si>
    <t xml:space="preserve">Primary source</t>
  </si>
  <si>
    <t xml:space="preserve">Backup source(s)</t>
  </si>
  <si>
    <t xml:space="preserve">Access method</t>
  </si>
  <si>
    <t xml:space="preserve">Key / login needed</t>
  </si>
  <si>
    <t xml:space="preserve">Reachable from this cloud env (re-tested 23-Oct-2026, full access)</t>
  </si>
  <si>
    <t xml:space="preserve">Solvable with no input from you?</t>
  </si>
  <si>
    <t xml:space="preserve">Fallback / imputation if unavailable</t>
  </si>
  <si>
    <t xml:space="preserve">Refresh cadence</t>
  </si>
  <si>
    <t xml:space="preserve">What I need from you (if not Yes)</t>
  </si>
  <si>
    <t xml:space="preserve">Notes / terms of use</t>
  </si>
  <si>
    <t xml:space="preserve">T1</t>
  </si>
  <si>
    <t xml:space="preserve">Team</t>
  </si>
  <si>
    <t xml:space="preserve">Serie A club list for the season</t>
  </si>
  <si>
    <t xml:space="preserve">teams[].name</t>
  </si>
  <si>
    <t xml:space="preserve">Synthetic "Demo club 01–20"</t>
  </si>
  <si>
    <t xml:space="preserve">Critical</t>
  </si>
  <si>
    <t xml:space="preserve">GitHub openfootball (raw.githubusercontent.com) it.1.json</t>
  </si>
  <si>
    <t xml:space="preserve">Fantacalcio.it, Lega Serie A, football-data.co.uk</t>
  </si>
  <si>
    <t xml:space="preserve">Download JSON</t>
  </si>
  <si>
    <t xml:space="preserve">No</t>
  </si>
  <si>
    <t xml:space="preserve">Yes</t>
  </si>
  <si>
    <t xml:space="preserve">—</t>
  </si>
  <si>
    <t xml:space="preserve">Season start; check after promotions</t>
  </si>
  <si>
    <t xml:space="preserve">Cross-checked against the Fantacalcio.it list and football-data.co.uk.</t>
  </si>
  <si>
    <t xml:space="preserve">T2</t>
  </si>
  <si>
    <t xml:space="preserve">Fixture calendar (round, date, home/away)</t>
  </si>
  <si>
    <t xml:space="preserve">fixtures (rounds of [home,away])</t>
  </si>
  <si>
    <t xml:space="preserve">Synthetic round-robin</t>
  </si>
  <si>
    <t xml:space="preserve">GitHub openfootball (raw.githubusercontent.com) it.1.json (380 matches 2026/27)</t>
  </si>
  <si>
    <t xml:space="preserve">Lega Serie A, football-data.co.uk fixtures.csv</t>
  </si>
  <si>
    <t xml:space="preserve">Weekly (postponements)</t>
  </si>
  <si>
    <t xml:space="preserve">football-data.co.uk fixtures.csv confirms dates for the coming week.</t>
  </si>
  <si>
    <t xml:space="preserve">T3</t>
  </si>
  <si>
    <t xml:space="preserve">Match results (scores, half-time) current + past seasons</t>
  </si>
  <si>
    <t xml:space="preserve">Fits teams[].att/def, MODEL.baseGoals, home, teamSd</t>
  </si>
  <si>
    <t xml:space="preserve">Not used</t>
  </si>
  <si>
    <t xml:space="preserve">football-data.co.uk I1.csv (results, shots, cards, odds) + openfootball</t>
  </si>
  <si>
    <t xml:space="preserve">football-data.co.uk I1.csv</t>
  </si>
  <si>
    <t xml:space="preserve">Download JSON / text</t>
  </si>
  <si>
    <t xml:space="preserve">Weekly</t>
  </si>
  <si>
    <t xml:space="preserve">Current and past seasons available.</t>
  </si>
  <si>
    <t xml:space="preserve">T4</t>
  </si>
  <si>
    <t xml:space="preserve">Betting odds (1X2, over/under 2.5) per fixture</t>
  </si>
  <si>
    <t xml:space="preserve">Blend into team att/def and match goal expectations</t>
  </si>
  <si>
    <t xml:space="preserve">High</t>
  </si>
  <si>
    <t xml:space="preserve">football-data.co.uk (closing odds for played matches; fixtures.csv has odds for the coming matchday)</t>
  </si>
  <si>
    <t xml:space="preserve">football-data.co.uk (closing odds in I1.csv)</t>
  </si>
  <si>
    <t xml:space="preserve">REST API / CSV</t>
  </si>
  <si>
    <t xml:space="preserve">The Odds API: free key</t>
  </si>
  <si>
    <t xml:space="preserve">— (The Odds API key optional)</t>
  </si>
  <si>
    <t xml:space="preserve">Upcoming odds cover about one matchday ahead; later fixtures use the results/xG model.</t>
  </si>
  <si>
    <t xml:space="preserve">T5</t>
  </si>
  <si>
    <t xml:space="preserve">Team xG for/against</t>
  </si>
  <si>
    <t xml:space="preserve">Improves team att/def (less luck than goals)</t>
  </si>
  <si>
    <t xml:space="preserve">Medium</t>
  </si>
  <si>
    <t xml:space="preserve">Understat getLeagueData (teams)</t>
  </si>
  <si>
    <t xml:space="preserve">FBref</t>
  </si>
  <si>
    <t xml:space="preserve">Scrape embedded JSON / HTML</t>
  </si>
  <si>
    <t xml:space="preserve">FBref is behind a Cloudflare bot check even in a headless browser; Understat replaces it.</t>
  </si>
  <si>
    <t xml:space="preserve">T6</t>
  </si>
  <si>
    <t xml:space="preserve">Club Elo ratings</t>
  </si>
  <si>
    <t xml:space="preserve">Prior for team strength / promoted clubs</t>
  </si>
  <si>
    <t xml:space="preserve">Low</t>
  </si>
  <si>
    <t xml:space="preserve">api.clubelo.com</t>
  </si>
  <si>
    <t xml:space="preserve">CSV API</t>
  </si>
  <si>
    <t xml:space="preserve">No (connection drops)</t>
  </si>
  <si>
    <t xml:space="preserve">Not needed: odds + xG cover team strength.</t>
  </si>
  <si>
    <t xml:space="preserve">— (optional, dropped)</t>
  </si>
  <si>
    <t xml:space="preserve">Optional; can be removed.</t>
  </si>
  <si>
    <t xml:space="preserve">T7</t>
  </si>
  <si>
    <t xml:space="preserve">Formation / coach per team</t>
  </si>
  <si>
    <t xml:space="preserve">MODEL.formation (currently one 4-3-3 for all)</t>
  </si>
  <si>
    <t xml:space="preserve">Fixed 4-3-3</t>
  </si>
  <si>
    <t xml:space="preserve">Fantacalcio.it probabili formazioni (module) + Understat match logs</t>
  </si>
  <si>
    <t xml:space="preserve">Fantacalcio.it probabili formazioni</t>
  </si>
  <si>
    <t xml:space="preserve">Derived</t>
  </si>
  <si>
    <t xml:space="preserve">Keep 4-3-3.</t>
  </si>
  <si>
    <t xml:space="preserve">P1</t>
  </si>
  <si>
    <t xml:space="preserve">Player</t>
  </si>
  <si>
    <t xml:space="preserve">Player list per club with official Fantacalcio role (P/D/C/A)</t>
  </si>
  <si>
    <t xml:space="preserve">players[] id, name, team, role</t>
  </si>
  <si>
    <t xml:space="preserve">Synthetic 18 per club</t>
  </si>
  <si>
    <t xml:space="preserve">Fantacalcio.it quotazioni (603 players, Classic and Mantra roles, QI/QA/FVM)</t>
  </si>
  <si>
    <t xml:space="preserve">Fantacalcio-online, FBref squad pages (no Fantacalcio roles)</t>
  </si>
  <si>
    <t xml:space="preserve">Scrape / Excel download</t>
  </si>
  <si>
    <t xml:space="preserve">Excel export may need a free login</t>
  </si>
  <si>
    <t xml:space="preserve">Weekly (transfers, role changes)</t>
  </si>
  <si>
    <t xml:space="preserve">Parsed from page HTML; no login needed.</t>
  </si>
  <si>
    <t xml:space="preserve">P2</t>
  </si>
  <si>
    <t xml:space="preserve">Transfers in/out, squad changes</t>
  </si>
  <si>
    <t xml:space="preserve">players[].team</t>
  </si>
  <si>
    <t xml:space="preserve">None</t>
  </si>
  <si>
    <t xml:space="preserve">Fantacalcio.it listone diff</t>
  </si>
  <si>
    <t xml:space="preserve">Transfermarkt</t>
  </si>
  <si>
    <t xml:space="preserve">Diff of weekly listone</t>
  </si>
  <si>
    <t xml:space="preserve">Detected by diffing P1 week to week.</t>
  </si>
  <si>
    <t xml:space="preserve">Weekly; daily in transfer windows</t>
  </si>
  <si>
    <t xml:space="preserve">Transfermarkt (headless browser) as a second check.</t>
  </si>
  <si>
    <t xml:space="preserve">P3</t>
  </si>
  <si>
    <t xml:space="preserve">Match votes (voto) and fantavoto per player per match, current + 2–3 past seasons</t>
  </si>
  <si>
    <t xml:space="preserve">players[].base; MODEL.vote.* (win, loss, goalDiff, teamSd, indivSd, goal, assist, red, gk/def conceded &amp; clean); subRatedMin</t>
  </si>
  <si>
    <t xml:space="preserve">Synthetic 5.9–6.4; coefficients guessed</t>
  </si>
  <si>
    <t xml:space="preserve">Fantacalcio.it voti per giornata (current and past seasons; Fantacalcio, Statistico and Italia votes; bonus/malus detail)</t>
  </si>
  <si>
    <t xml:space="preserve">Fantacalcio-online match pages</t>
  </si>
  <si>
    <t xml:space="preserve">Scrape per matchday</t>
  </si>
  <si>
    <t xml:space="preserve">Weekly (after each matchday)</t>
  </si>
  <si>
    <t xml:space="preserve">Includes goals, conceded, own goals, penalties scored/missed/saved, cards per player.</t>
  </si>
  <si>
    <t xml:space="preserve">P4</t>
  </si>
  <si>
    <t xml:space="preserve">Goals per player incl. penalties and own goals</t>
  </si>
  <si>
    <t xml:space="preserve">players[].goalW; MODEL.ownGoal; penalty share</t>
  </si>
  <si>
    <t xml:space="preserve">Synthetic</t>
  </si>
  <si>
    <t xml:space="preserve">Fantacalcio.it voti (bonus detail) + Understat (goals, npg)</t>
  </si>
  <si>
    <t xml:space="preserve">FBref, API-Football, fantacalcio.it</t>
  </si>
  <si>
    <t xml:space="preserve">Parse text</t>
  </si>
  <si>
    <t xml:space="preserve">P5</t>
  </si>
  <si>
    <t xml:space="preserve">Assists per player</t>
  </si>
  <si>
    <t xml:space="preserve">players[].assistW; MODEL.assisted</t>
  </si>
  <si>
    <t xml:space="preserve">Understat (assists, xA) + Fantacalcio.it voti (Fantacalcio assists)</t>
  </si>
  <si>
    <t xml:space="preserve">API-Football, Understat, fantacalcio.it</t>
  </si>
  <si>
    <t xml:space="preserve">Scrape / API</t>
  </si>
  <si>
    <t xml:space="preserve">API-Football: free key</t>
  </si>
  <si>
    <t xml:space="preserve">Fantacalcio assists are what the league scores; Understat gives per-90 rates.</t>
  </si>
  <si>
    <t xml:space="preserve">P6</t>
  </si>
  <si>
    <t xml:space="preserve">Minutes, starts and substitute appearances per match</t>
  </si>
  <si>
    <t xml:space="preserve">players[].start; goalW/assistW per 90; MODEL.subs, subMinutes, subRatedMin; formation</t>
  </si>
  <si>
    <t xml:space="preserve">Understat per-match minutes (start / Sub) + Fantacalcio.it sub-in/sub-out minutes + FotMob squads with sub minutes</t>
  </si>
  <si>
    <t xml:space="preserve">API-Football fixtures/players, fantacalcio.it tabellini</t>
  </si>
  <si>
    <t xml:space="preserve">About 600 player requests per full refresh; throttled.</t>
  </si>
  <si>
    <t xml:space="preserve">P7</t>
  </si>
  <si>
    <t xml:space="preserve">xG / xA / shots per player</t>
  </si>
  <si>
    <t xml:space="preserve">Shrinkage prior for goalW/assistW (less noise than goals)</t>
  </si>
  <si>
    <t xml:space="preserve">Understat</t>
  </si>
  <si>
    <t xml:space="preserve">Scrape</t>
  </si>
  <si>
    <t xml:space="preserve">P8</t>
  </si>
  <si>
    <t xml:space="preserve">Penalty takers</t>
  </si>
  <si>
    <t xml:space="preserve">Penalty share inside goalW (planned penalty model)</t>
  </si>
  <si>
    <t xml:space="preserve">Not modelled</t>
  </si>
  <si>
    <t xml:space="preserve">Fantacalcio.it rigoristi + penalty detail in voti</t>
  </si>
  <si>
    <t xml:space="preserve">Fantacalcio.it rigoristi page</t>
  </si>
  <si>
    <t xml:space="preserve">P9</t>
  </si>
  <si>
    <t xml:space="preserve">Yellow and red cards per player</t>
  </si>
  <si>
    <t xml:space="preserve">players[].yellow; MODEL.red; suspensions</t>
  </si>
  <si>
    <t xml:space="preserve">Synthetic by role</t>
  </si>
  <si>
    <t xml:space="preserve">Understat + Fantacalcio.it voti</t>
  </si>
  <si>
    <t xml:space="preserve">API-Football, fantacalcio.it</t>
  </si>
  <si>
    <t xml:space="preserve">P10</t>
  </si>
  <si>
    <t xml:space="preserve">Current injuries and expected return date</t>
  </si>
  <si>
    <t xml:space="preserve">players[].injuredFor</t>
  </si>
  <si>
    <t xml:space="preserve">Random 6% injured</t>
  </si>
  <si>
    <t xml:space="preserve">Fantacalcio.it injury list (dated snapshot each run; return dates parsed)</t>
  </si>
  <si>
    <t xml:space="preserve">Transfermarkt injuries, club news</t>
  </si>
  <si>
    <t xml:space="preserve">Weekly + on news</t>
  </si>
  <si>
    <t xml:space="preserve">Done: text return dates converted to matchdays missed (e.g. ACL to April = 24 matchdays).</t>
  </si>
  <si>
    <t xml:space="preserve">P11</t>
  </si>
  <si>
    <t xml:space="preserve">Injury history (frequency and length)</t>
  </si>
  <si>
    <t xml:space="preserve">players[].injuryRisk, injuryGames</t>
  </si>
  <si>
    <t xml:space="preserve">FotMob per-match unavailable lists (injured players per team per match, with age) 2020-21 →</t>
  </si>
  <si>
    <t xml:space="preserve">FBref (missed matches)</t>
  </si>
  <si>
    <t xml:space="preserve">Role x age-group averages for players with little history.</t>
  </si>
  <si>
    <t xml:space="preserve">Monthly</t>
  </si>
  <si>
    <t xml:space="preserve">Done, replaces Transfermarkt. Fantacalcio.it only keeps injury status for the live season, so it cannot give history.</t>
  </si>
  <si>
    <t xml:space="preserve">P12</t>
  </si>
  <si>
    <t xml:space="preserve">Current suspensions and yellow-card count</t>
  </si>
  <si>
    <t xml:space="preserve">players[].yellows; banned at start</t>
  </si>
  <si>
    <t xml:space="preserve">Zero for all</t>
  </si>
  <si>
    <t xml:space="preserve">Fantacalcio.it squalificati e diffidati + card counts</t>
  </si>
  <si>
    <t xml:space="preserve">Fantacalcio.it indisponibili</t>
  </si>
  <si>
    <t xml:space="preserve">Derived / scrape</t>
  </si>
  <si>
    <t xml:space="preserve">P13</t>
  </si>
  <si>
    <t xml:space="preserve">Probable lineups (probability of starting next matchday)</t>
  </si>
  <si>
    <t xml:space="preserve">Short-term override of players[].start</t>
  </si>
  <si>
    <t xml:space="preserve">Sky Sport, Gazzetta probabili</t>
  </si>
  <si>
    <t xml:space="preserve">Before each matchday</t>
  </si>
  <si>
    <t xml:space="preserve">L1</t>
  </si>
  <si>
    <t xml:space="preserve">League rules</t>
  </si>
  <si>
    <t xml:space="preserve">Your league scoring rules not yet in the app (defence modifier, penalty scored/missed/saved, own goal, assist variants, vote provider, no-vote rule)</t>
  </si>
  <si>
    <t xml:space="preserve">Config passed to simulate()</t>
  </si>
  <si>
    <t xml:space="preserve">Only goal/assist/yellow/red/conceded/clean asked</t>
  </si>
  <si>
    <t xml:space="preserve">You (one-time)</t>
  </si>
  <si>
    <t xml:space="preserve">Setup form / config file</t>
  </si>
  <si>
    <t xml:space="preserve">n/a</t>
  </si>
  <si>
    <t xml:space="preserve">Once per season</t>
  </si>
  <si>
    <t xml:space="preserve">— (optional: your own rules in the app)</t>
  </si>
  <si>
    <t xml:space="preserve">Done: standard Classic defaults adopted (goal +3, assist +1, penalty +3/−3/saved +3, own goal −2, yellow −0.5, red −1, conceded −1, keeper clean sheet +1, defence modifier 6/6.5/7 → +1/+3/+6). Every value is editable and drives all simulations.</t>
  </si>
  <si>
    <t xml:space="preserve">Dataset</t>
  </si>
  <si>
    <t xml:space="preserve">Source</t>
  </si>
  <si>
    <t xml:space="preserve">Seasons</t>
  </si>
  <si>
    <t xml:space="preserve">Rows</t>
  </si>
  <si>
    <t xml:space="preserve">Files</t>
  </si>
  <si>
    <t xml:space="preserve">Used for</t>
  </si>
  <si>
    <t xml:space="preserve">Match results, shots, cards, odds</t>
  </si>
  <si>
    <t xml:space="preserve">football-data.co.uk</t>
  </si>
  <si>
    <t xml:space="preserve">2015-16 → 2026-27</t>
  </si>
  <si>
    <t xml:space="preserve">Team strength, home edge, cards, odds</t>
  </si>
  <si>
    <t xml:space="preserve">Odds for the coming matchday (snapshots)</t>
  </si>
  <si>
    <t xml:space="preserve">23/10/2026 → 25/10/2026</t>
  </si>
  <si>
    <t xml:space="preserve">Odds history from now on</t>
  </si>
  <si>
    <t xml:space="preserve">Calendar and results</t>
  </si>
  <si>
    <t xml:space="preserve">openfootball (GitHub)</t>
  </si>
  <si>
    <t xml:space="preserve">Remaining fixtures</t>
  </si>
  <si>
    <t xml:space="preserve">Match xG</t>
  </si>
  <si>
    <t xml:space="preserve">2014-15 → 2026-27</t>
  </si>
  <si>
    <t xml:space="preserve">Team strength</t>
  </si>
  <si>
    <t xml:space="preserve">Team match stats (xG, xGA, PPDA)</t>
  </si>
  <si>
    <t xml:space="preserve">Player seasons (minutes, goals, xG, assists, xA, cards)</t>
  </si>
  <si>
    <t xml:space="preserve">Goal/assist shares, cards</t>
  </si>
  <si>
    <t xml:space="preserve">Player matches (minutes, start/sub, goals, xG, assists, xA)</t>
  </si>
  <si>
    <t xml:space="preserve">2014 → 2026</t>
  </si>
  <si>
    <t xml:space="preserve">Start weights, minutes, per-90 shares</t>
  </si>
  <si>
    <t xml:space="preserve">Price lists with Classic and Mantra roles</t>
  </si>
  <si>
    <t xml:space="preserve">Fantacalcio.it</t>
  </si>
  <si>
    <t xml:space="preserve">Player list and roles</t>
  </si>
  <si>
    <t xml:space="preserve">Votes, fantavoto (3 providers) and bonus detail</t>
  </si>
  <si>
    <t xml:space="preserve">Vote model, penalties, own goals, cards</t>
  </si>
  <si>
    <t xml:space="preserve">Player matchday status and sub minutes</t>
  </si>
  <si>
    <t xml:space="preserve">Titolarità, minutes (injury status only kept for the live season)</t>
  </si>
  <si>
    <t xml:space="preserve">Injury list snapshots</t>
  </si>
  <si>
    <t xml:space="preserve">2026-10-23 → 2026-10-23</t>
  </si>
  <si>
    <t xml:space="preserve">Current injuries and return dates</t>
  </si>
  <si>
    <t xml:space="preserve">Probable lineup snapshots</t>
  </si>
  <si>
    <t xml:space="preserve">Next-matchday start probability</t>
  </si>
  <si>
    <t xml:space="preserve">Match squads, formations, sub minutes, ratings, ages</t>
  </si>
  <si>
    <t xml:space="preserve">FotMob</t>
  </si>
  <si>
    <t xml:space="preserve">2017-18 → 2026-27</t>
  </si>
  <si>
    <t xml:space="preserve">Formations, minutes, age</t>
  </si>
  <si>
    <t xml:space="preserve">Unavailable players per match (injury, expected return, age)</t>
  </si>
  <si>
    <t xml:space="preserve">Injury risk and length</t>
  </si>
  <si>
    <t xml:space="preserve">Parameter</t>
  </si>
  <si>
    <t xml:space="preserve">Level</t>
  </si>
  <si>
    <t xml:space="preserve">Engine location</t>
  </si>
  <si>
    <t xml:space="preserve">Current value</t>
  </si>
  <si>
    <t xml:space="preserve">Meaning</t>
  </si>
  <si>
    <t xml:space="preserve">Calibration method</t>
  </si>
  <si>
    <t xml:space="preserve">Data needed (IDs)</t>
  </si>
  <si>
    <t xml:space="preserve">Calibrable with no input from you?</t>
  </si>
  <si>
    <t xml:space="preserve">Status</t>
  </si>
  <si>
    <t xml:space="preserve">seed</t>
  </si>
  <si>
    <t xml:space="preserve">Run</t>
  </si>
  <si>
    <t xml:space="preserve">MODEL.seed</t>
  </si>
  <si>
    <t xml:space="preserve">82</t>
  </si>
  <si>
    <t xml:space="preserve">Random seed for reproducible runs</t>
  </si>
  <si>
    <t xml:space="preserve">Not calibrated: fixed for reproducibility</t>
  </si>
  <si>
    <t xml:space="preserve">Setting</t>
  </si>
  <si>
    <t xml:space="preserve">formation</t>
  </si>
  <si>
    <t xml:space="preserve">MODEL.formation</t>
  </si>
  <si>
    <t xml:space="preserve">P1 D4 C3 A3 (all teams)</t>
  </si>
  <si>
    <t xml:space="preserve">Starting slots by role</t>
  </si>
  <si>
    <t xml:space="preserve">Most-used formation per team from recent lineups</t>
  </si>
  <si>
    <t xml:space="preserve">P6, T7</t>
  </si>
  <si>
    <t xml:space="preserve">Guess — data now reachable</t>
  </si>
  <si>
    <t xml:space="preserve">baseGoals</t>
  </si>
  <si>
    <t xml:space="preserve">League</t>
  </si>
  <si>
    <t xml:space="preserve">MODEL.baseGoals</t>
  </si>
  <si>
    <t xml:space="preserve">1.35</t>
  </si>
  <si>
    <t xml:space="preserve">League-average goals per team per match</t>
  </si>
  <si>
    <t xml:space="preserve">Poisson/Dixon-Coles regression on results with time decay</t>
  </si>
  <si>
    <t xml:space="preserve">T3 (+T4)</t>
  </si>
  <si>
    <t xml:space="preserve">home</t>
  </si>
  <si>
    <t xml:space="preserve">MODEL.home</t>
  </si>
  <si>
    <t xml:space="preserve">1.12</t>
  </si>
  <si>
    <t xml:space="preserve">Home multiplier on goals</t>
  </si>
  <si>
    <t xml:space="preserve">Same regression as baseGoals</t>
  </si>
  <si>
    <t xml:space="preserve">att / def</t>
  </si>
  <si>
    <t xml:space="preserve">teams[].att, teams[].def</t>
  </si>
  <si>
    <t xml:space="preserve">Synthetic lognormal(0, 0.2)</t>
  </si>
  <si>
    <t xml:space="preserve">Team attack and defence multipliers</t>
  </si>
  <si>
    <t xml:space="preserve">Dixon-Coles with time decay, shrunk to league mean; blend with odds when available</t>
  </si>
  <si>
    <t xml:space="preserve">T3, T4, T5, T6</t>
  </si>
  <si>
    <t xml:space="preserve">Synthetic — data now reachable</t>
  </si>
  <si>
    <t xml:space="preserve">teamSd</t>
  </si>
  <si>
    <t xml:space="preserve">MODEL.teamSd</t>
  </si>
  <si>
    <t xml:space="preserve">0.08</t>
  </si>
  <si>
    <t xml:space="preserve">Uncertainty of team strengths per world</t>
  </si>
  <si>
    <t xml:space="preserve">Standard error / posterior SD from the att/def fit</t>
  </si>
  <si>
    <t xml:space="preserve">playerSd</t>
  </si>
  <si>
    <t xml:space="preserve">MODEL.playerSd</t>
  </si>
  <si>
    <t xml:space="preserve">0.15</t>
  </si>
  <si>
    <t xml:space="preserve">Uncertainty of player scoring rates per world</t>
  </si>
  <si>
    <t xml:space="preserve">Hierarchical model of player rates: between-player vs within-player variance</t>
  </si>
  <si>
    <t xml:space="preserve">P4, P5, P6, P7</t>
  </si>
  <si>
    <t xml:space="preserve">ownGoal</t>
  </si>
  <si>
    <t xml:space="preserve">MODEL.ownGoal</t>
  </si>
  <si>
    <t xml:space="preserve">0.03</t>
  </si>
  <si>
    <t xml:space="preserve">Share of goals that are own goals</t>
  </si>
  <si>
    <t xml:space="preserve">Count of (og) goals / all goals over recent seasons</t>
  </si>
  <si>
    <t xml:space="preserve">T3, P4</t>
  </si>
  <si>
    <t xml:space="preserve">assisted</t>
  </si>
  <si>
    <t xml:space="preserve">MODEL.assisted</t>
  </si>
  <si>
    <t xml:space="preserve">0.70</t>
  </si>
  <si>
    <t xml:space="preserve">Share of credited goals with an assist</t>
  </si>
  <si>
    <t xml:space="preserve">Fantacalcio assists / goals</t>
  </si>
  <si>
    <t xml:space="preserve">P3 or P5</t>
  </si>
  <si>
    <t xml:space="preserve">subs</t>
  </si>
  <si>
    <t xml:space="preserve">MODEL.subs</t>
  </si>
  <si>
    <t xml:space="preserve">3–5</t>
  </si>
  <si>
    <t xml:space="preserve">Substitutions per team per match</t>
  </si>
  <si>
    <t xml:space="preserve">Empirical distribution from match lineups</t>
  </si>
  <si>
    <t xml:space="preserve">subMinutes</t>
  </si>
  <si>
    <t xml:space="preserve">MODEL.subMinutes</t>
  </si>
  <si>
    <t xml:space="preserve">10–45</t>
  </si>
  <si>
    <t xml:space="preserve">Minutes played by substitutes</t>
  </si>
  <si>
    <t xml:space="preserve">Empirical distribution of substitute minutes</t>
  </si>
  <si>
    <t xml:space="preserve">subRatedMin</t>
  </si>
  <si>
    <t xml:space="preserve">MODEL.subRatedMin</t>
  </si>
  <si>
    <t xml:space="preserve">25</t>
  </si>
  <si>
    <t xml:space="preserve">Minutes below which a substitute gets no vote</t>
  </si>
  <si>
    <t xml:space="preserve">Logistic fit of "rated" on minutes and events, by vote provider</t>
  </si>
  <si>
    <t xml:space="preserve">P3, P6</t>
  </si>
  <si>
    <t xml:space="preserve">red</t>
  </si>
  <si>
    <t xml:space="preserve">MODEL.red</t>
  </si>
  <si>
    <t xml:space="preserve">0.008 per 90</t>
  </si>
  <si>
    <t xml:space="preserve">Straight red card rate</t>
  </si>
  <si>
    <t xml:space="preserve">Reds per 90 by role</t>
  </si>
  <si>
    <t xml:space="preserve">yellowBanEvery</t>
  </si>
  <si>
    <t xml:space="preserve">Rule</t>
  </si>
  <si>
    <t xml:space="preserve">MODEL.yellowBanEvery</t>
  </si>
  <si>
    <t xml:space="preserve">5</t>
  </si>
  <si>
    <t xml:space="preserve">Yellows per one-match ban</t>
  </si>
  <si>
    <t xml:space="preserve">Rule, not fitted: set from the Serie A disciplinary code (thresholds can change after the first ban)</t>
  </si>
  <si>
    <t xml:space="preserve">Regulation</t>
  </si>
  <si>
    <t xml:space="preserve">Partial</t>
  </si>
  <si>
    <t xml:space="preserve">Simplified</t>
  </si>
  <si>
    <t xml:space="preserve">vote.win / draw / loss</t>
  </si>
  <si>
    <t xml:space="preserve">MODEL.vote</t>
  </si>
  <si>
    <t xml:space="preserve">+0.30 / 0 / −0.30</t>
  </si>
  <si>
    <t xml:space="preserve">Effect of match result on vote</t>
  </si>
  <si>
    <t xml:space="preserve">Mixed-effects regression of votes on result, goal difference, events, role</t>
  </si>
  <si>
    <t xml:space="preserve">P3, T3</t>
  </si>
  <si>
    <t xml:space="preserve">vote.goalDiff</t>
  </si>
  <si>
    <t xml:space="preserve">0.10</t>
  </si>
  <si>
    <t xml:space="preserve">Vote change per goal of margin (capped ±3)</t>
  </si>
  <si>
    <t xml:space="preserve">Same regression</t>
  </si>
  <si>
    <t xml:space="preserve">vote.teamSd</t>
  </si>
  <si>
    <t xml:space="preserve">0.25</t>
  </si>
  <si>
    <t xml:space="preserve">Shared team-performance swing per match</t>
  </si>
  <si>
    <t xml:space="preserve">Variance component (team-match random effect)</t>
  </si>
  <si>
    <t xml:space="preserve">vote.indivSd</t>
  </si>
  <si>
    <t xml:space="preserve">0.40</t>
  </si>
  <si>
    <t xml:space="preserve">Individual vote noise</t>
  </si>
  <si>
    <t xml:space="preserve">Residual variance</t>
  </si>
  <si>
    <t xml:space="preserve">vote.goal / assist / red</t>
  </si>
  <si>
    <t xml:space="preserve">+0.50 / +0.25 / −1.00</t>
  </si>
  <si>
    <t xml:space="preserve">Vote effect of goal, assist, red card (before bonuses)</t>
  </si>
  <si>
    <t xml:space="preserve">P3, P4, P5, P9</t>
  </si>
  <si>
    <t xml:space="preserve">vote.gkConceded / gkClean</t>
  </si>
  <si>
    <t xml:space="preserve">−0.25 per goal / +0.30</t>
  </si>
  <si>
    <t xml:space="preserve">Keeper vote vs goals conceded and clean sheet</t>
  </si>
  <si>
    <t xml:space="preserve">Same regression, keepers only</t>
  </si>
  <si>
    <t xml:space="preserve">vote.defConceded / defClean</t>
  </si>
  <si>
    <t xml:space="preserve">−0.10 per goal / +0.20</t>
  </si>
  <si>
    <t xml:space="preserve">Defender vote vs goals conceded and clean sheet</t>
  </si>
  <si>
    <t xml:space="preserve">Same regression, defenders only</t>
  </si>
  <si>
    <t xml:space="preserve">vote.min / max</t>
  </si>
  <si>
    <t xml:space="preserve">3 / 10</t>
  </si>
  <si>
    <t xml:space="preserve">Vote bounds</t>
  </si>
  <si>
    <t xml:space="preserve">Observed range in vote data</t>
  </si>
  <si>
    <t xml:space="preserve">start</t>
  </si>
  <si>
    <t xml:space="preserve">players[].start</t>
  </si>
  <si>
    <t xml:space="preserve">Synthetic 0.15–0.95</t>
  </si>
  <si>
    <t xml:space="preserve">Weight for winning a starting slot</t>
  </si>
  <si>
    <t xml:space="preserve">Share of starts when available, recency-weighted; overridden by probable lineups for the next matchday</t>
  </si>
  <si>
    <t xml:space="preserve">P6, P13</t>
  </si>
  <si>
    <t xml:space="preserve">base</t>
  </si>
  <si>
    <t xml:space="preserve">players[].base</t>
  </si>
  <si>
    <t xml:space="preserve">Synthetic 5.9–6.4</t>
  </si>
  <si>
    <t xml:space="preserve">Player's underlying vote</t>
  </si>
  <si>
    <t xml:space="preserve">Player random effect from the vote regression, shrunk to role mean</t>
  </si>
  <si>
    <t xml:space="preserve">goalW</t>
  </si>
  <si>
    <t xml:space="preserve">players[].goalW</t>
  </si>
  <si>
    <t xml:space="preserve">Share of team goals per minute on pitch</t>
  </si>
  <si>
    <t xml:space="preserve">Goals (or xG) per 90 ÷ team goals per 90, shrunk to role mean; penalty share separated</t>
  </si>
  <si>
    <t xml:space="preserve">P4, P6, P7, P8</t>
  </si>
  <si>
    <t xml:space="preserve">assistW</t>
  </si>
  <si>
    <t xml:space="preserve">players[].assistW</t>
  </si>
  <si>
    <t xml:space="preserve">Share of team assists per minute on pitch</t>
  </si>
  <si>
    <t xml:space="preserve">As goalW using assists/xA</t>
  </si>
  <si>
    <t xml:space="preserve">P5, P6, P7</t>
  </si>
  <si>
    <t xml:space="preserve">yellow</t>
  </si>
  <si>
    <t xml:space="preserve">players[].yellow</t>
  </si>
  <si>
    <t xml:space="preserve">Yellow cards per 90</t>
  </si>
  <si>
    <t xml:space="preserve">Cards per 90, shrunk to role mean</t>
  </si>
  <si>
    <t xml:space="preserve">P9, P6</t>
  </si>
  <si>
    <t xml:space="preserve">injuryRisk</t>
  </si>
  <si>
    <t xml:space="preserve">players[].injuryRisk</t>
  </si>
  <si>
    <t xml:space="preserve">Synthetic 1.5–5.5% per match</t>
  </si>
  <si>
    <t xml:space="preserve">Chance of a new injury per match</t>
  </si>
  <si>
    <t xml:space="preserve">Survival model on injury history with age/role priors — done in pipeline/calibrate_injuries.py, shrinkage strength chosen by backtest</t>
  </si>
  <si>
    <t xml:space="preserve">P11, P10</t>
  </si>
  <si>
    <t xml:space="preserve">Calibrated (FotMob)</t>
  </si>
  <si>
    <t xml:space="preserve">injuryGames</t>
  </si>
  <si>
    <t xml:space="preserve">players[].injuryGames</t>
  </si>
  <si>
    <t xml:space="preserve">Synthetic 1–4</t>
  </si>
  <si>
    <t xml:space="preserve">Mean matches missed per injury</t>
  </si>
  <si>
    <t xml:space="preserve">Mean injury length from history, by injury type — done in pipeline/calibrate_injuries.py, shrinkage strength chosen by backtest</t>
  </si>
  <si>
    <t xml:space="preserve">injuredFor</t>
  </si>
  <si>
    <t xml:space="preserve">Random</t>
  </si>
  <si>
    <t xml:space="preserve">Matches still to miss now</t>
  </si>
  <si>
    <t xml:space="preserve">Expected return date converted to matches</t>
  </si>
  <si>
    <t xml:space="preserve">Calibrated</t>
  </si>
  <si>
    <t xml:space="preserve">yellows</t>
  </si>
  <si>
    <t xml:space="preserve">players[].yellows</t>
  </si>
  <si>
    <t xml:space="preserve">0</t>
  </si>
  <si>
    <t xml:space="preserve">Current yellow-card count</t>
  </si>
  <si>
    <t xml:space="preserve">Season card count</t>
  </si>
  <si>
    <t xml:space="preserve">P9, P12</t>
  </si>
  <si>
    <t xml:space="preserve">N (worlds)</t>
  </si>
  <si>
    <t xml:space="preserve">simulate(c, N)</t>
  </si>
  <si>
    <t xml:space="preserve">500 in app, 200 in tests</t>
  </si>
  <si>
    <t xml:space="preserve">Number of simulated seasons</t>
  </si>
  <si>
    <t xml:space="preserve">Convergence check: increase until xFM moves &lt; 0.01</t>
  </si>
  <si>
    <t xml:space="preserve">Host</t>
  </si>
  <si>
    <t xml:space="preserve">What it provides</t>
  </si>
  <si>
    <t xml:space="preserve">Plain request from container</t>
  </si>
  <si>
    <t xml:space="preserve">Headless browser</t>
  </si>
  <si>
    <t xml:space="preserve">Usable</t>
  </si>
  <si>
    <t xml:space="preserve">raw.githubusercontent.com (openfootball)</t>
  </si>
  <si>
    <t xml:space="preserve">Clubs, calendar, results, scorers</t>
  </si>
  <si>
    <t xml:space="preserve">200 OK</t>
  </si>
  <si>
    <t xml:space="preserve">www.fantacalcio.it</t>
  </si>
  <si>
    <t xml:space="preserve">Roles (603 players), votes per match, injuries, suspensions, probable lineups</t>
  </si>
  <si>
    <t xml:space="preserve">200 OK, data in page HTML</t>
  </si>
  <si>
    <t xml:space="preserve">www.fantacalcio-online.com</t>
  </si>
  <si>
    <t xml:space="preserve">Votes per match (backup)</t>
  </si>
  <si>
    <t xml:space="preserve">www.football-data.co.uk</t>
  </si>
  <si>
    <t xml:space="preserve">Results, cards, shots, closing odds; odds for the coming matchday</t>
  </si>
  <si>
    <t xml:space="preserve">200 OK (after redirect)</t>
  </si>
  <si>
    <t xml:space="preserve">understat.com</t>
  </si>
  <si>
    <t xml:space="preserve">Per-player season and per-match minutes, starts/sub, goals, xG, assists, xA, cards</t>
  </si>
  <si>
    <t xml:space="preserve">200 OK (JSON endpoints)</t>
  </si>
  <si>
    <t xml:space="preserve">www.fotmob.com (JSON API)</t>
  </si>
  <si>
    <t xml:space="preserve">Per-match squads, formations, sub minutes, unavailable players with injury type, expected return and age</t>
  </si>
  <si>
    <t xml:space="preserve">www.transfermarkt.com</t>
  </si>
  <si>
    <t xml:space="preserve">Injuries, injury history, transfers</t>
  </si>
  <si>
    <t xml:space="preserve">405 to plain requests</t>
  </si>
  <si>
    <t xml:space="preserve">200 OK in headless Chromium</t>
  </si>
  <si>
    <t xml:space="preserve">fbref.com</t>
  </si>
  <si>
    <t xml:space="preserve">Minutes, assists, cards, xG</t>
  </si>
  <si>
    <t xml:space="preserve">403</t>
  </si>
  <si>
    <t xml:space="preserve">Cloudflare challenge in headless Chromium</t>
  </si>
  <si>
    <t xml:space="preserve">Elo ratings</t>
  </si>
  <si>
    <t xml:space="preserve">Connection dropped</t>
  </si>
  <si>
    <t xml:space="preserve">v3.football.api-sports.io</t>
  </si>
  <si>
    <t xml:space="preserve">API-Football (structured stats)</t>
  </si>
  <si>
    <t xml:space="preserve">Reachable (403 = no key)</t>
  </si>
  <si>
    <t xml:space="preserve">api.the-odds-api.com</t>
  </si>
  <si>
    <t xml:space="preserve">Betting odds</t>
  </si>
  <si>
    <t xml:space="preserve">Reachable (401 = no key)</t>
  </si>
  <si>
    <t xml:space="preserve">Step</t>
  </si>
  <si>
    <t xml:space="preserve">Phase</t>
  </si>
  <si>
    <t xml:space="preserve">Action</t>
  </si>
  <si>
    <t xml:space="preserve">How (automated by Claude Code)</t>
  </si>
  <si>
    <t xml:space="preserve">Data IDs</t>
  </si>
  <si>
    <t xml:space="preserve">Needs from you</t>
  </si>
  <si>
    <t xml:space="preserve">Output</t>
  </si>
  <si>
    <t xml:space="preserve">A — now</t>
  </si>
  <si>
    <t xml:space="preserve">Data loader for real clubs, calendar and results</t>
  </si>
  <si>
    <t xml:space="preserve">Python script fetches openfootball JSON/text into data/raw/ with retrieval timestamps; normalises team names</t>
  </si>
  <si>
    <t xml:space="preserve">T1, T2, T3</t>
  </si>
  <si>
    <t xml:space="preserve">data/raw/*.json, data/clean/matches.csv</t>
  </si>
  <si>
    <t xml:space="preserve">Calibrate team model</t>
  </si>
  <si>
    <t xml:space="preserve">Time-decayed Dixon-Coles fit gives att/def per club, baseGoals, home, teamSd; backtest on last season</t>
  </si>
  <si>
    <t xml:space="preserve">data/params/teams.json</t>
  </si>
  <si>
    <t xml:space="preserve">Goal-level league parameters</t>
  </si>
  <si>
    <t xml:space="preserve">Own-goal share and penalty share from scorer markers; player goal counts (names only)</t>
  </si>
  <si>
    <t xml:space="preserve">P4, P8</t>
  </si>
  <si>
    <t xml:space="preserve">data/params/league.json</t>
  </si>
  <si>
    <t xml:space="preserve">Engine reads data files</t>
  </si>
  <si>
    <t xml:space="preserve">simulate() takes the league from data/params/*.json instead of demoLeague(); synthetic players stay until roster data exists, clearly labelled</t>
  </si>
  <si>
    <t xml:space="preserve">Engine runs on real clubs and calendar</t>
  </si>
  <si>
    <t xml:space="preserve">B — now unblocked</t>
  </si>
  <si>
    <t xml:space="preserve">Rosters and roles</t>
  </si>
  <si>
    <t xml:space="preserve">Scrape Fantacalcio.it listone weekly; diff for transfers</t>
  </si>
  <si>
    <t xml:space="preserve">P1, P2</t>
  </si>
  <si>
    <t xml:space="preserve">data/raw/listone_&lt;date&gt;.csv</t>
  </si>
  <si>
    <t xml:space="preserve">B</t>
  </si>
  <si>
    <t xml:space="preserve">Votes history</t>
  </si>
  <si>
    <t xml:space="preserve">Scrape votes per matchday for current + 2–3 past seasons</t>
  </si>
  <si>
    <t xml:space="preserve">data/raw/votes/*.csv</t>
  </si>
  <si>
    <t xml:space="preserve">Understat season + per-match player data (FBref blocked by Cloudflare, not needed)</t>
  </si>
  <si>
    <t xml:space="preserve">P5, P6, P7, P9</t>
  </si>
  <si>
    <t xml:space="preserve">data/raw/player_matches.csv</t>
  </si>
  <si>
    <t xml:space="preserve">Availability</t>
  </si>
  <si>
    <t xml:space="preserve">Scrape injuries/suspensions and probable lineups before each matchday</t>
  </si>
  <si>
    <t xml:space="preserve">P10, P12, P13</t>
  </si>
  <si>
    <t xml:space="preserve">data/raw/availability_&lt;date&gt;.csv</t>
  </si>
  <si>
    <t xml:space="preserve">Odds</t>
  </si>
  <si>
    <t xml:space="preserve">football-data.co.uk odds (played + coming matchday); blend with results/xG team strengths</t>
  </si>
  <si>
    <t xml:space="preserve">None (Odds API key optional)</t>
  </si>
  <si>
    <t xml:space="preserve">data/raw/odds_&lt;date&gt;.csv</t>
  </si>
  <si>
    <t xml:space="preserve">C — calibration</t>
  </si>
  <si>
    <t xml:space="preserve">Fit all parameters</t>
  </si>
  <si>
    <t xml:space="preserve">calibrate.py fits every Model_Parameters row marked Partial/No from data; writes versioned params with fit diagnostics</t>
  </si>
  <si>
    <t xml:space="preserve">All</t>
  </si>
  <si>
    <t xml:space="preserve">data/params/v&lt;date&gt;.json + calibration report</t>
  </si>
  <si>
    <t xml:space="preserve">C</t>
  </si>
  <si>
    <t xml:space="preserve">Validate</t>
  </si>
  <si>
    <t xml:space="preserve">Rolling backtest without future leakage: xFM error, rated-games error, interval coverage vs simple baselines</t>
  </si>
  <si>
    <t xml:space="preserve">reports/validation_&lt;date&gt;.md</t>
  </si>
  <si>
    <t xml:space="preserve">D — weekly update</t>
  </si>
  <si>
    <t xml:space="preserve">One-command refresh</t>
  </si>
  <si>
    <t xml:space="preserve">A single prompt ("update FantaBall") runs fetch → checks → calibrate → simulate → commit; reports what changed. Can be a weekly scheduled task</t>
  </si>
  <si>
    <t xml:space="preserve">Approve a weekly scheduled task (optional)</t>
  </si>
  <si>
    <t xml:space="preserve">Updated forecasts in the repo; change log</t>
  </si>
  <si>
    <t xml:space="preserve">#</t>
  </si>
  <si>
    <t xml:space="preserve">What</t>
  </si>
  <si>
    <t xml:space="preserve">Why</t>
  </si>
  <si>
    <t xml:space="preserve">Required?</t>
  </si>
  <si>
    <t xml:space="preserve">How (one-time)</t>
  </si>
  <si>
    <t xml:space="preserve">Network access set to allow all</t>
  </si>
  <si>
    <t xml:space="preserve">Unblocked every source the plan needs (FBref replaced by Understat).</t>
  </si>
  <si>
    <t xml:space="preserve">Done</t>
  </si>
  <si>
    <t xml:space="preserve">Done on 23-Oct-2026.</t>
  </si>
  <si>
    <t xml:space="preserve">API keys</t>
  </si>
  <si>
    <t xml:space="preserve">None needed: every source used is public. Optional later: ODDS_API_KEY (the-odds-api.com, free tier) for odds beyond the coming matchday; API_FOOTBALL_KEY (api-sports.io) as a structured backup if a site changes its pages.</t>
  </si>
  <si>
    <t xml:space="preserve">Not needed</t>
  </si>
  <si>
    <t xml:space="preserve">Only if you want those extras: create a free account and add the key as an environment variable.</t>
  </si>
  <si>
    <t xml:space="preserve">League scoring rules</t>
  </si>
  <si>
    <t xml:space="preserve">Done: standard Classic rules adopted as defaults; any user can enter their own in the app (setup form → Edit league and scoring rules) and every simulation uses them.</t>
  </si>
  <si>
    <t xml:space="preserve">Confirm personal (non-commercial) use of scraped data</t>
  </si>
  <si>
    <t xml:space="preserve">Fantacalcio.it, Understat and Transfermarkt terms restrict automated and commercial reuse; a commercial app needs a licensed feed.</t>
  </si>
  <si>
    <t xml:space="preserve">Required</t>
  </si>
  <si>
    <t xml:space="preserve">A yes/no answer.</t>
  </si>
  <si>
    <t xml:space="preserve">Optional: approve a weekly scheduled task to run the update automatically</t>
  </si>
  <si>
    <t xml:space="preserve">Lets the refresh run without you typing a prompt.</t>
  </si>
  <si>
    <t xml:space="preserve">Optional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</si>
</sst>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E6D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E6D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nectivity" displayName="Connectivity" ref="A1:E12" headerRowCount="1" totalsRowCount="0" totalsRowShown="0">
  <autoFilter ref="A1:E12"/>
  <tableColumns count="5">
    <tableColumn id="1" name="Host"/>
    <tableColumn id="2" name="What it provides"/>
    <tableColumn id="3" name="Plain request from container"/>
    <tableColumn id="4" name="Headless browser"/>
    <tableColumn id="5" name="Usable"/>
  </tableColumns>
</table>
</file>

<file path=xl/tables/table2.xml><?xml version="1.0" encoding="utf-8"?>
<table xmlns="http://schemas.openxmlformats.org/spreadsheetml/2006/main" id="2" name="DataSources" displayName="DataSources" ref="A1:P22" headerRowCount="1" totalsRowCount="0" totalsRowShown="0">
  <autoFilter ref="A1:P22"/>
  <tableColumns count="16">
    <tableColumn id="1" name="ID"/>
    <tableColumn id="2" name="Category"/>
    <tableColumn id="3" name="Data item"/>
    <tableColumn id="4" name="Engine input(s) it feeds"/>
    <tableColumn id="5" name="Current state in engine"/>
    <tableColumn id="6" name="Priority"/>
    <tableColumn id="7" name="Primary source"/>
    <tableColumn id="8" name="Backup source(s)"/>
    <tableColumn id="9" name="Access method"/>
    <tableColumn id="10" name="Key / login needed"/>
    <tableColumn id="11" name="Reachable from this cloud env (re-tested 23-Oct-2026, full access)"/>
    <tableColumn id="12" name="Solvable with no input from you?"/>
    <tableColumn id="13" name="Fallback / imputation if unavailable"/>
    <tableColumn id="14" name="Refresh cadence"/>
    <tableColumn id="15" name="What I need from you (if not Yes)"/>
    <tableColumn id="16" name="Notes / terms of use"/>
  </tableColumns>
</table>
</file>

<file path=xl/tables/table3.xml><?xml version="1.0" encoding="utf-8"?>
<table xmlns="http://schemas.openxmlformats.org/spreadsheetml/2006/main" id="3" name="HistoricalData" displayName="HistoricalData" ref="A1:F15" headerRowCount="1" totalsRowCount="0" totalsRowShown="0">
  <autoFilter ref="A1:F15"/>
  <tableColumns count="6">
    <tableColumn id="1" name="Dataset"/>
    <tableColumn id="2" name="Source"/>
    <tableColumn id="3" name="Seasons"/>
    <tableColumn id="4" name="Rows"/>
    <tableColumn id="5" name="Files"/>
    <tableColumn id="6" name="Used for"/>
  </tableColumns>
</table>
</file>

<file path=xl/tables/table4.xml><?xml version="1.0" encoding="utf-8"?>
<table xmlns="http://schemas.openxmlformats.org/spreadsheetml/2006/main" id="4" name="ModelParameters" displayName="ModelParameters" ref="A1:I33" headerRowCount="1" totalsRowCount="0" totalsRowShown="0">
  <autoFilter ref="A1:I33"/>
  <tableColumns count="9">
    <tableColumn id="1" name="Parameter"/>
    <tableColumn id="2" name="Level"/>
    <tableColumn id="3" name="Engine location"/>
    <tableColumn id="4" name="Current value"/>
    <tableColumn id="5" name="Meaning"/>
    <tableColumn id="6" name="Calibration method"/>
    <tableColumn id="7" name="Data needed (IDs)"/>
    <tableColumn id="8" name="Calibrable with no input from you?"/>
    <tableColumn id="9" name="Status"/>
  </tableColumns>
</table>
</file>

<file path=xl/tables/table5.xml><?xml version="1.0" encoding="utf-8"?>
<table xmlns="http://schemas.openxmlformats.org/spreadsheetml/2006/main" id="5" name="Needs" displayName="Needs" ref="A1:E6" headerRowCount="1" totalsRowCount="0" totalsRowShown="0">
  <autoFilter ref="A1:E6"/>
  <tableColumns count="5">
    <tableColumn id="1" name="#"/>
    <tableColumn id="2" name="What"/>
    <tableColumn id="3" name="Why"/>
    <tableColumn id="4" name="Required?"/>
    <tableColumn id="5" name="How (one-time)"/>
  </tableColumns>
</table>
</file>

<file path=xl/tables/table6.xml><?xml version="1.0" encoding="utf-8"?>
<table xmlns="http://schemas.openxmlformats.org/spreadsheetml/2006/main" id="6" name="Plan" displayName="Plan" ref="A1:G13" headerRowCount="1" totalsRowCount="0" totalsRowShown="0">
  <autoFilter ref="A1:G13"/>
  <tableColumns count="7">
    <tableColumn id="1" name="Step"/>
    <tableColumn id="2" name="Phase"/>
    <tableColumn id="3" name="Action"/>
    <tableColumn id="4" name="How (automated by Claude Code)"/>
    <tableColumn id="5" name="Data IDs"/>
    <tableColumn id="6" name="Needs from you"/>
    <tableColumn id="7" name="Outpu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COUNTIF(Data_Sources!L:L,"Yes")</f>
        <v>20</v>
      </c>
    </row>
    <row r="6" customFormat="false" ht="15" hidden="false" customHeight="false" outlineLevel="0" collapsed="false">
      <c r="A6" s="4" t="s">
        <v>5</v>
      </c>
      <c r="B6" s="4" t="n">
        <f aca="false">COUNTIF(Data_Sources!L:L,"Partial")</f>
        <v>0</v>
      </c>
    </row>
    <row r="7" customFormat="false" ht="15" hidden="false" customHeight="false" outlineLevel="0" collapsed="false">
      <c r="A7" s="4" t="s">
        <v>6</v>
      </c>
      <c r="B7" s="4" t="n">
        <f aca="false">COUNTIF(Data_Sources!L:L,"No")</f>
        <v>1</v>
      </c>
    </row>
    <row r="8" customFormat="false" ht="15" hidden="false" customHeight="false" outlineLevel="0" collapsed="false">
      <c r="A8" s="4" t="s">
        <v>7</v>
      </c>
      <c r="B8" s="4" t="n">
        <f aca="false">SUM(B5:B7)</f>
        <v>21</v>
      </c>
    </row>
    <row r="9" customFormat="false" ht="15" hidden="false" customHeight="false" outlineLevel="0" collapsed="false">
      <c r="A9" s="4" t="s">
        <v>8</v>
      </c>
      <c r="B9" s="4" t="n">
        <f aca="false">COUNTIFS(Data_Sources!F:F,"Critical",Data_Sources!L:L,"No")</f>
        <v>0</v>
      </c>
    </row>
    <row r="10" customFormat="false" ht="15" hidden="false" customHeight="false" outlineLevel="0" collapsed="false">
      <c r="A10" s="4"/>
      <c r="B10" s="4"/>
    </row>
    <row r="11" customFormat="false" ht="15" hidden="false" customHeight="false" outlineLevel="0" collapsed="false">
      <c r="A11" s="3" t="s">
        <v>9</v>
      </c>
      <c r="B11" s="3" t="s">
        <v>3</v>
      </c>
    </row>
    <row r="12" customFormat="false" ht="15" hidden="false" customHeight="false" outlineLevel="0" collapsed="false">
      <c r="A12" s="4" t="s">
        <v>10</v>
      </c>
      <c r="B12" s="4" t="n">
        <f aca="false">COUNTIF(Model_Parameters!H:H,"Yes")</f>
        <v>31</v>
      </c>
    </row>
    <row r="13" customFormat="false" ht="15" hidden="false" customHeight="false" outlineLevel="0" collapsed="false">
      <c r="A13" s="4" t="s">
        <v>11</v>
      </c>
      <c r="B13" s="4" t="n">
        <f aca="false">COUNTIF(Model_Parameters!H:H,"Partial")</f>
        <v>1</v>
      </c>
    </row>
    <row r="14" customFormat="false" ht="15" hidden="false" customHeight="false" outlineLevel="0" collapsed="false">
      <c r="A14" s="4" t="s">
        <v>12</v>
      </c>
      <c r="B14" s="4" t="n">
        <f aca="false">COUNTIF(Model_Parameters!H:H,"No")</f>
        <v>0</v>
      </c>
    </row>
    <row r="15" customFormat="false" ht="15" hidden="false" customHeight="false" outlineLevel="0" collapsed="false">
      <c r="A15" s="4" t="s">
        <v>7</v>
      </c>
      <c r="B15" s="4" t="n">
        <f aca="false">SUM(B12:B14)</f>
        <v>32</v>
      </c>
    </row>
    <row r="16" customFormat="false" ht="15" hidden="false" customHeight="false" outlineLevel="0" collapsed="false">
      <c r="A16" s="4"/>
      <c r="B16" s="4"/>
    </row>
    <row r="17" customFormat="false" ht="15" hidden="false" customHeight="false" outlineLevel="0" collapsed="false">
      <c r="A17" s="3" t="s">
        <v>13</v>
      </c>
      <c r="B17" s="4"/>
    </row>
    <row r="18" customFormat="false" ht="15" hidden="false" customHeight="false" outlineLevel="0" collapsed="false">
      <c r="A18" s="4" t="s">
        <v>14</v>
      </c>
      <c r="B18" s="4"/>
    </row>
    <row r="19" customFormat="false" ht="15" hidden="false" customHeight="false" outlineLevel="0" collapsed="false">
      <c r="A19" s="4" t="s">
        <v>15</v>
      </c>
      <c r="B19" s="4"/>
    </row>
    <row r="20" customFormat="false" ht="15" hidden="false" customHeight="false" outlineLevel="0" collapsed="false">
      <c r="A20" s="4" t="s">
        <v>16</v>
      </c>
      <c r="B20" s="4"/>
    </row>
    <row r="21" customFormat="false" ht="15" hidden="false" customHeight="false" outlineLevel="0" collapsed="false">
      <c r="A21" s="4" t="s">
        <v>17</v>
      </c>
      <c r="B21" s="4"/>
    </row>
    <row r="22" customFormat="false" ht="15" hidden="false" customHeight="false" outlineLevel="0" collapsed="false">
      <c r="A22" s="4" t="s">
        <v>18</v>
      </c>
      <c r="B22" s="4"/>
    </row>
    <row r="23" customFormat="false" ht="15" hidden="false" customHeight="false" outlineLevel="0" collapsed="false">
      <c r="A23" s="4" t="s">
        <v>19</v>
      </c>
      <c r="B23" s="4"/>
    </row>
    <row r="24" customFormat="false" ht="15" hidden="false" customHeight="false" outlineLevel="0" collapsed="false">
      <c r="A24" s="4" t="s">
        <v>20</v>
      </c>
      <c r="B2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8" min="7" style="0" width="30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32"/>
    <col collapsed="false" customWidth="true" hidden="false" outlineLevel="0" max="14" min="14" style="0" width="16"/>
    <col collapsed="false" customWidth="true" hidden="false" outlineLevel="0" max="15" min="15" style="0" width="30"/>
    <col collapsed="false" customWidth="true" hidden="false" outlineLevel="0" max="16" min="16" style="0" width="36"/>
  </cols>
  <sheetData>
    <row r="1" customFormat="false" ht="77.6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</row>
    <row r="2" customFormat="false" ht="35.05" hidden="false" customHeight="false" outlineLevel="0" collapsed="false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47</v>
      </c>
      <c r="M2" s="6" t="s">
        <v>48</v>
      </c>
      <c r="N2" s="6" t="s">
        <v>49</v>
      </c>
      <c r="O2" s="6" t="s">
        <v>48</v>
      </c>
      <c r="P2" s="6" t="s">
        <v>50</v>
      </c>
    </row>
    <row r="3" customFormat="false" ht="35.05" hidden="false" customHeight="false" outlineLevel="0" collapsed="false">
      <c r="A3" s="6" t="s">
        <v>51</v>
      </c>
      <c r="B3" s="6" t="s">
        <v>38</v>
      </c>
      <c r="C3" s="6" t="s">
        <v>52</v>
      </c>
      <c r="D3" s="6" t="s">
        <v>53</v>
      </c>
      <c r="E3" s="6" t="s">
        <v>54</v>
      </c>
      <c r="F3" s="6" t="s">
        <v>42</v>
      </c>
      <c r="G3" s="6" t="s">
        <v>55</v>
      </c>
      <c r="H3" s="6" t="s">
        <v>56</v>
      </c>
      <c r="I3" s="6" t="s">
        <v>45</v>
      </c>
      <c r="J3" s="6" t="s">
        <v>46</v>
      </c>
      <c r="K3" s="6" t="s">
        <v>47</v>
      </c>
      <c r="L3" s="6" t="s">
        <v>47</v>
      </c>
      <c r="M3" s="6" t="s">
        <v>48</v>
      </c>
      <c r="N3" s="6" t="s">
        <v>57</v>
      </c>
      <c r="O3" s="6" t="s">
        <v>48</v>
      </c>
      <c r="P3" s="6" t="s">
        <v>58</v>
      </c>
    </row>
    <row r="4" customFormat="false" ht="23.85" hidden="false" customHeight="false" outlineLevel="0" collapsed="false">
      <c r="A4" s="6" t="s">
        <v>59</v>
      </c>
      <c r="B4" s="6" t="s">
        <v>38</v>
      </c>
      <c r="C4" s="6" t="s">
        <v>60</v>
      </c>
      <c r="D4" s="6" t="s">
        <v>61</v>
      </c>
      <c r="E4" s="6" t="s">
        <v>62</v>
      </c>
      <c r="F4" s="6" t="s">
        <v>42</v>
      </c>
      <c r="G4" s="6" t="s">
        <v>63</v>
      </c>
      <c r="H4" s="6" t="s">
        <v>64</v>
      </c>
      <c r="I4" s="6" t="s">
        <v>65</v>
      </c>
      <c r="J4" s="6" t="s">
        <v>46</v>
      </c>
      <c r="K4" s="6" t="s">
        <v>47</v>
      </c>
      <c r="L4" s="6" t="s">
        <v>47</v>
      </c>
      <c r="M4" s="6" t="s">
        <v>48</v>
      </c>
      <c r="N4" s="6" t="s">
        <v>66</v>
      </c>
      <c r="O4" s="6" t="s">
        <v>48</v>
      </c>
      <c r="P4" s="6" t="s">
        <v>67</v>
      </c>
    </row>
    <row r="5" customFormat="false" ht="35.05" hidden="false" customHeight="false" outlineLevel="0" collapsed="false">
      <c r="A5" s="6" t="s">
        <v>68</v>
      </c>
      <c r="B5" s="6" t="s">
        <v>38</v>
      </c>
      <c r="C5" s="6" t="s">
        <v>69</v>
      </c>
      <c r="D5" s="6" t="s">
        <v>70</v>
      </c>
      <c r="E5" s="6" t="s">
        <v>62</v>
      </c>
      <c r="F5" s="6" t="s">
        <v>71</v>
      </c>
      <c r="G5" s="6" t="s">
        <v>72</v>
      </c>
      <c r="H5" s="6" t="s">
        <v>73</v>
      </c>
      <c r="I5" s="6" t="s">
        <v>74</v>
      </c>
      <c r="J5" s="6" t="s">
        <v>75</v>
      </c>
      <c r="K5" s="6" t="s">
        <v>47</v>
      </c>
      <c r="L5" s="6" t="s">
        <v>47</v>
      </c>
      <c r="M5" s="6" t="s">
        <v>48</v>
      </c>
      <c r="N5" s="6" t="s">
        <v>66</v>
      </c>
      <c r="O5" s="6" t="s">
        <v>76</v>
      </c>
      <c r="P5" s="6" t="s">
        <v>77</v>
      </c>
    </row>
    <row r="6" customFormat="false" ht="35.05" hidden="false" customHeight="false" outlineLevel="0" collapsed="false">
      <c r="A6" s="6" t="s">
        <v>78</v>
      </c>
      <c r="B6" s="6" t="s">
        <v>38</v>
      </c>
      <c r="C6" s="6" t="s">
        <v>79</v>
      </c>
      <c r="D6" s="6" t="s">
        <v>80</v>
      </c>
      <c r="E6" s="6" t="s">
        <v>62</v>
      </c>
      <c r="F6" s="6" t="s">
        <v>81</v>
      </c>
      <c r="G6" s="6" t="s">
        <v>82</v>
      </c>
      <c r="H6" s="6" t="s">
        <v>83</v>
      </c>
      <c r="I6" s="6" t="s">
        <v>84</v>
      </c>
      <c r="J6" s="6" t="s">
        <v>46</v>
      </c>
      <c r="K6" s="6" t="s">
        <v>47</v>
      </c>
      <c r="L6" s="6" t="s">
        <v>47</v>
      </c>
      <c r="M6" s="6" t="s">
        <v>48</v>
      </c>
      <c r="N6" s="6" t="s">
        <v>66</v>
      </c>
      <c r="O6" s="6" t="s">
        <v>48</v>
      </c>
      <c r="P6" s="6" t="s">
        <v>85</v>
      </c>
    </row>
    <row r="7" customFormat="false" ht="23.85" hidden="false" customHeight="false" outlineLevel="0" collapsed="false">
      <c r="A7" s="6" t="s">
        <v>86</v>
      </c>
      <c r="B7" s="6" t="s">
        <v>38</v>
      </c>
      <c r="C7" s="6" t="s">
        <v>87</v>
      </c>
      <c r="D7" s="6" t="s">
        <v>88</v>
      </c>
      <c r="E7" s="6" t="s">
        <v>62</v>
      </c>
      <c r="F7" s="6" t="s">
        <v>89</v>
      </c>
      <c r="G7" s="6" t="s">
        <v>90</v>
      </c>
      <c r="H7" s="6" t="s">
        <v>48</v>
      </c>
      <c r="I7" s="6" t="s">
        <v>91</v>
      </c>
      <c r="J7" s="6" t="s">
        <v>46</v>
      </c>
      <c r="K7" s="6" t="s">
        <v>92</v>
      </c>
      <c r="L7" s="6" t="s">
        <v>46</v>
      </c>
      <c r="M7" s="6" t="s">
        <v>93</v>
      </c>
      <c r="N7" s="6" t="s">
        <v>66</v>
      </c>
      <c r="O7" s="6" t="s">
        <v>94</v>
      </c>
      <c r="P7" s="6" t="s">
        <v>95</v>
      </c>
    </row>
    <row r="8" customFormat="false" ht="23.85" hidden="false" customHeight="false" outlineLevel="0" collapsed="false">
      <c r="A8" s="6" t="s">
        <v>96</v>
      </c>
      <c r="B8" s="6" t="s">
        <v>38</v>
      </c>
      <c r="C8" s="6" t="s">
        <v>97</v>
      </c>
      <c r="D8" s="6" t="s">
        <v>98</v>
      </c>
      <c r="E8" s="6" t="s">
        <v>99</v>
      </c>
      <c r="F8" s="6" t="s">
        <v>81</v>
      </c>
      <c r="G8" s="6" t="s">
        <v>100</v>
      </c>
      <c r="H8" s="6" t="s">
        <v>101</v>
      </c>
      <c r="I8" s="6" t="s">
        <v>102</v>
      </c>
      <c r="J8" s="6" t="s">
        <v>46</v>
      </c>
      <c r="K8" s="6" t="s">
        <v>47</v>
      </c>
      <c r="L8" s="6" t="s">
        <v>47</v>
      </c>
      <c r="M8" s="6" t="s">
        <v>103</v>
      </c>
      <c r="N8" s="6" t="s">
        <v>66</v>
      </c>
      <c r="O8" s="6" t="s">
        <v>48</v>
      </c>
      <c r="P8" s="6" t="s">
        <v>48</v>
      </c>
    </row>
    <row r="9" customFormat="false" ht="35.05" hidden="false" customHeight="false" outlineLevel="0" collapsed="false">
      <c r="A9" s="6" t="s">
        <v>104</v>
      </c>
      <c r="B9" s="6" t="s">
        <v>105</v>
      </c>
      <c r="C9" s="6" t="s">
        <v>106</v>
      </c>
      <c r="D9" s="6" t="s">
        <v>107</v>
      </c>
      <c r="E9" s="6" t="s">
        <v>108</v>
      </c>
      <c r="F9" s="6" t="s">
        <v>42</v>
      </c>
      <c r="G9" s="6" t="s">
        <v>109</v>
      </c>
      <c r="H9" s="6" t="s">
        <v>110</v>
      </c>
      <c r="I9" s="6" t="s">
        <v>111</v>
      </c>
      <c r="J9" s="6" t="s">
        <v>112</v>
      </c>
      <c r="K9" s="6" t="s">
        <v>47</v>
      </c>
      <c r="L9" s="6" t="s">
        <v>47</v>
      </c>
      <c r="M9" s="6" t="s">
        <v>48</v>
      </c>
      <c r="N9" s="6" t="s">
        <v>113</v>
      </c>
      <c r="O9" s="6" t="s">
        <v>48</v>
      </c>
      <c r="P9" s="6" t="s">
        <v>114</v>
      </c>
    </row>
    <row r="10" customFormat="false" ht="23.85" hidden="false" customHeight="false" outlineLevel="0" collapsed="false">
      <c r="A10" s="6" t="s">
        <v>115</v>
      </c>
      <c r="B10" s="6" t="s">
        <v>105</v>
      </c>
      <c r="C10" s="6" t="s">
        <v>116</v>
      </c>
      <c r="D10" s="6" t="s">
        <v>117</v>
      </c>
      <c r="E10" s="6" t="s">
        <v>118</v>
      </c>
      <c r="F10" s="6" t="s">
        <v>71</v>
      </c>
      <c r="G10" s="6" t="s">
        <v>119</v>
      </c>
      <c r="H10" s="6" t="s">
        <v>120</v>
      </c>
      <c r="I10" s="6" t="s">
        <v>121</v>
      </c>
      <c r="J10" s="6" t="s">
        <v>46</v>
      </c>
      <c r="K10" s="6" t="s">
        <v>47</v>
      </c>
      <c r="L10" s="6" t="s">
        <v>47</v>
      </c>
      <c r="M10" s="6" t="s">
        <v>122</v>
      </c>
      <c r="N10" s="6" t="s">
        <v>123</v>
      </c>
      <c r="O10" s="6" t="s">
        <v>48</v>
      </c>
      <c r="P10" s="6" t="s">
        <v>124</v>
      </c>
    </row>
    <row r="11" customFormat="false" ht="46.25" hidden="false" customHeight="false" outlineLevel="0" collapsed="false">
      <c r="A11" s="6" t="s">
        <v>125</v>
      </c>
      <c r="B11" s="6" t="s">
        <v>105</v>
      </c>
      <c r="C11" s="6" t="s">
        <v>126</v>
      </c>
      <c r="D11" s="6" t="s">
        <v>127</v>
      </c>
      <c r="E11" s="6" t="s">
        <v>128</v>
      </c>
      <c r="F11" s="6" t="s">
        <v>42</v>
      </c>
      <c r="G11" s="6" t="s">
        <v>129</v>
      </c>
      <c r="H11" s="6" t="s">
        <v>130</v>
      </c>
      <c r="I11" s="6" t="s">
        <v>131</v>
      </c>
      <c r="J11" s="6" t="s">
        <v>46</v>
      </c>
      <c r="K11" s="6" t="s">
        <v>47</v>
      </c>
      <c r="L11" s="6" t="s">
        <v>47</v>
      </c>
      <c r="M11" s="6" t="s">
        <v>48</v>
      </c>
      <c r="N11" s="6" t="s">
        <v>132</v>
      </c>
      <c r="O11" s="6" t="s">
        <v>48</v>
      </c>
      <c r="P11" s="6" t="s">
        <v>133</v>
      </c>
    </row>
    <row r="12" customFormat="false" ht="23.85" hidden="false" customHeight="false" outlineLevel="0" collapsed="false">
      <c r="A12" s="6" t="s">
        <v>134</v>
      </c>
      <c r="B12" s="6" t="s">
        <v>105</v>
      </c>
      <c r="C12" s="6" t="s">
        <v>135</v>
      </c>
      <c r="D12" s="6" t="s">
        <v>136</v>
      </c>
      <c r="E12" s="6" t="s">
        <v>137</v>
      </c>
      <c r="F12" s="6" t="s">
        <v>42</v>
      </c>
      <c r="G12" s="6" t="s">
        <v>138</v>
      </c>
      <c r="H12" s="6" t="s">
        <v>139</v>
      </c>
      <c r="I12" s="6" t="s">
        <v>140</v>
      </c>
      <c r="J12" s="6" t="s">
        <v>46</v>
      </c>
      <c r="K12" s="6" t="s">
        <v>47</v>
      </c>
      <c r="L12" s="6" t="s">
        <v>47</v>
      </c>
      <c r="M12" s="6" t="s">
        <v>48</v>
      </c>
      <c r="N12" s="6" t="s">
        <v>66</v>
      </c>
      <c r="O12" s="6" t="s">
        <v>48</v>
      </c>
      <c r="P12" s="6" t="s">
        <v>48</v>
      </c>
    </row>
    <row r="13" customFormat="false" ht="35.05" hidden="false" customHeight="false" outlineLevel="0" collapsed="false">
      <c r="A13" s="6" t="s">
        <v>141</v>
      </c>
      <c r="B13" s="6" t="s">
        <v>105</v>
      </c>
      <c r="C13" s="6" t="s">
        <v>142</v>
      </c>
      <c r="D13" s="6" t="s">
        <v>143</v>
      </c>
      <c r="E13" s="6" t="s">
        <v>137</v>
      </c>
      <c r="F13" s="6" t="s">
        <v>71</v>
      </c>
      <c r="G13" s="6" t="s">
        <v>144</v>
      </c>
      <c r="H13" s="6" t="s">
        <v>145</v>
      </c>
      <c r="I13" s="6" t="s">
        <v>146</v>
      </c>
      <c r="J13" s="6" t="s">
        <v>147</v>
      </c>
      <c r="K13" s="6" t="s">
        <v>47</v>
      </c>
      <c r="L13" s="6" t="s">
        <v>47</v>
      </c>
      <c r="M13" s="6" t="s">
        <v>48</v>
      </c>
      <c r="N13" s="6" t="s">
        <v>66</v>
      </c>
      <c r="O13" s="6" t="s">
        <v>48</v>
      </c>
      <c r="P13" s="6" t="s">
        <v>148</v>
      </c>
    </row>
    <row r="14" customFormat="false" ht="46.25" hidden="false" customHeight="false" outlineLevel="0" collapsed="false">
      <c r="A14" s="6" t="s">
        <v>149</v>
      </c>
      <c r="B14" s="6" t="s">
        <v>105</v>
      </c>
      <c r="C14" s="6" t="s">
        <v>150</v>
      </c>
      <c r="D14" s="6" t="s">
        <v>151</v>
      </c>
      <c r="E14" s="6" t="s">
        <v>137</v>
      </c>
      <c r="F14" s="6" t="s">
        <v>42</v>
      </c>
      <c r="G14" s="6" t="s">
        <v>152</v>
      </c>
      <c r="H14" s="6" t="s">
        <v>153</v>
      </c>
      <c r="I14" s="6" t="s">
        <v>146</v>
      </c>
      <c r="J14" s="6" t="s">
        <v>147</v>
      </c>
      <c r="K14" s="6" t="s">
        <v>47</v>
      </c>
      <c r="L14" s="6" t="s">
        <v>47</v>
      </c>
      <c r="M14" s="6" t="s">
        <v>48</v>
      </c>
      <c r="N14" s="6" t="s">
        <v>66</v>
      </c>
      <c r="O14" s="6" t="s">
        <v>48</v>
      </c>
      <c r="P14" s="6" t="s">
        <v>154</v>
      </c>
    </row>
    <row r="15" customFormat="false" ht="23.85" hidden="false" customHeight="false" outlineLevel="0" collapsed="false">
      <c r="A15" s="6" t="s">
        <v>155</v>
      </c>
      <c r="B15" s="6" t="s">
        <v>105</v>
      </c>
      <c r="C15" s="6" t="s">
        <v>156</v>
      </c>
      <c r="D15" s="6" t="s">
        <v>157</v>
      </c>
      <c r="E15" s="6" t="s">
        <v>62</v>
      </c>
      <c r="F15" s="6" t="s">
        <v>81</v>
      </c>
      <c r="G15" s="6" t="s">
        <v>158</v>
      </c>
      <c r="H15" s="6" t="s">
        <v>83</v>
      </c>
      <c r="I15" s="6" t="s">
        <v>159</v>
      </c>
      <c r="J15" s="6" t="s">
        <v>46</v>
      </c>
      <c r="K15" s="6" t="s">
        <v>47</v>
      </c>
      <c r="L15" s="6" t="s">
        <v>47</v>
      </c>
      <c r="M15" s="6" t="s">
        <v>48</v>
      </c>
      <c r="N15" s="6" t="s">
        <v>66</v>
      </c>
      <c r="O15" s="6" t="s">
        <v>48</v>
      </c>
      <c r="P15" s="6" t="s">
        <v>48</v>
      </c>
    </row>
    <row r="16" customFormat="false" ht="23.85" hidden="false" customHeight="false" outlineLevel="0" collapsed="false">
      <c r="A16" s="6" t="s">
        <v>160</v>
      </c>
      <c r="B16" s="6" t="s">
        <v>105</v>
      </c>
      <c r="C16" s="6" t="s">
        <v>161</v>
      </c>
      <c r="D16" s="6" t="s">
        <v>162</v>
      </c>
      <c r="E16" s="6" t="s">
        <v>163</v>
      </c>
      <c r="F16" s="6" t="s">
        <v>81</v>
      </c>
      <c r="G16" s="6" t="s">
        <v>164</v>
      </c>
      <c r="H16" s="6" t="s">
        <v>165</v>
      </c>
      <c r="I16" s="6" t="s">
        <v>102</v>
      </c>
      <c r="J16" s="6" t="s">
        <v>46</v>
      </c>
      <c r="K16" s="6" t="s">
        <v>47</v>
      </c>
      <c r="L16" s="6" t="s">
        <v>47</v>
      </c>
      <c r="M16" s="6" t="s">
        <v>48</v>
      </c>
      <c r="N16" s="6" t="s">
        <v>66</v>
      </c>
      <c r="O16" s="6" t="s">
        <v>48</v>
      </c>
      <c r="P16" s="6" t="s">
        <v>48</v>
      </c>
    </row>
    <row r="17" customFormat="false" ht="23.85" hidden="false" customHeight="false" outlineLevel="0" collapsed="false">
      <c r="A17" s="6" t="s">
        <v>166</v>
      </c>
      <c r="B17" s="6" t="s">
        <v>105</v>
      </c>
      <c r="C17" s="6" t="s">
        <v>167</v>
      </c>
      <c r="D17" s="6" t="s">
        <v>168</v>
      </c>
      <c r="E17" s="6" t="s">
        <v>169</v>
      </c>
      <c r="F17" s="6" t="s">
        <v>71</v>
      </c>
      <c r="G17" s="6" t="s">
        <v>170</v>
      </c>
      <c r="H17" s="6" t="s">
        <v>171</v>
      </c>
      <c r="I17" s="6" t="s">
        <v>146</v>
      </c>
      <c r="J17" s="6" t="s">
        <v>147</v>
      </c>
      <c r="K17" s="6" t="s">
        <v>47</v>
      </c>
      <c r="L17" s="6" t="s">
        <v>47</v>
      </c>
      <c r="M17" s="6" t="s">
        <v>48</v>
      </c>
      <c r="N17" s="6" t="s">
        <v>66</v>
      </c>
      <c r="O17" s="6" t="s">
        <v>48</v>
      </c>
      <c r="P17" s="6" t="s">
        <v>48</v>
      </c>
    </row>
    <row r="18" customFormat="false" ht="35.05" hidden="false" customHeight="false" outlineLevel="0" collapsed="false">
      <c r="A18" s="6" t="s">
        <v>172</v>
      </c>
      <c r="B18" s="6" t="s">
        <v>105</v>
      </c>
      <c r="C18" s="6" t="s">
        <v>173</v>
      </c>
      <c r="D18" s="6" t="s">
        <v>174</v>
      </c>
      <c r="E18" s="6" t="s">
        <v>175</v>
      </c>
      <c r="F18" s="6" t="s">
        <v>42</v>
      </c>
      <c r="G18" s="6" t="s">
        <v>176</v>
      </c>
      <c r="H18" s="6" t="s">
        <v>177</v>
      </c>
      <c r="I18" s="6" t="s">
        <v>159</v>
      </c>
      <c r="J18" s="6" t="s">
        <v>46</v>
      </c>
      <c r="K18" s="6" t="s">
        <v>47</v>
      </c>
      <c r="L18" s="6" t="s">
        <v>47</v>
      </c>
      <c r="M18" s="6" t="s">
        <v>48</v>
      </c>
      <c r="N18" s="6" t="s">
        <v>178</v>
      </c>
      <c r="O18" s="6" t="s">
        <v>48</v>
      </c>
      <c r="P18" s="6" t="s">
        <v>179</v>
      </c>
    </row>
    <row r="19" customFormat="false" ht="35.05" hidden="false" customHeight="false" outlineLevel="0" collapsed="false">
      <c r="A19" s="6" t="s">
        <v>180</v>
      </c>
      <c r="B19" s="6" t="s">
        <v>105</v>
      </c>
      <c r="C19" s="6" t="s">
        <v>181</v>
      </c>
      <c r="D19" s="6" t="s">
        <v>182</v>
      </c>
      <c r="E19" s="6" t="s">
        <v>137</v>
      </c>
      <c r="F19" s="6" t="s">
        <v>81</v>
      </c>
      <c r="G19" s="6" t="s">
        <v>183</v>
      </c>
      <c r="H19" s="6" t="s">
        <v>184</v>
      </c>
      <c r="I19" s="6" t="s">
        <v>159</v>
      </c>
      <c r="J19" s="6" t="s">
        <v>46</v>
      </c>
      <c r="K19" s="6" t="s">
        <v>47</v>
      </c>
      <c r="L19" s="6" t="s">
        <v>47</v>
      </c>
      <c r="M19" s="6" t="s">
        <v>185</v>
      </c>
      <c r="N19" s="6" t="s">
        <v>186</v>
      </c>
      <c r="O19" s="6" t="s">
        <v>48</v>
      </c>
      <c r="P19" s="6" t="s">
        <v>187</v>
      </c>
    </row>
    <row r="20" customFormat="false" ht="23.85" hidden="false" customHeight="false" outlineLevel="0" collapsed="false">
      <c r="A20" s="6" t="s">
        <v>188</v>
      </c>
      <c r="B20" s="6" t="s">
        <v>105</v>
      </c>
      <c r="C20" s="6" t="s">
        <v>189</v>
      </c>
      <c r="D20" s="6" t="s">
        <v>190</v>
      </c>
      <c r="E20" s="6" t="s">
        <v>191</v>
      </c>
      <c r="F20" s="6" t="s">
        <v>71</v>
      </c>
      <c r="G20" s="6" t="s">
        <v>192</v>
      </c>
      <c r="H20" s="6" t="s">
        <v>193</v>
      </c>
      <c r="I20" s="6" t="s">
        <v>194</v>
      </c>
      <c r="J20" s="6" t="s">
        <v>46</v>
      </c>
      <c r="K20" s="6" t="s">
        <v>47</v>
      </c>
      <c r="L20" s="6" t="s">
        <v>47</v>
      </c>
      <c r="M20" s="6" t="s">
        <v>48</v>
      </c>
      <c r="N20" s="6" t="s">
        <v>66</v>
      </c>
      <c r="O20" s="6" t="s">
        <v>48</v>
      </c>
      <c r="P20" s="6" t="s">
        <v>48</v>
      </c>
    </row>
    <row r="21" customFormat="false" ht="23.85" hidden="false" customHeight="false" outlineLevel="0" collapsed="false">
      <c r="A21" s="6" t="s">
        <v>195</v>
      </c>
      <c r="B21" s="6" t="s">
        <v>105</v>
      </c>
      <c r="C21" s="6" t="s">
        <v>196</v>
      </c>
      <c r="D21" s="6" t="s">
        <v>197</v>
      </c>
      <c r="E21" s="6" t="s">
        <v>62</v>
      </c>
      <c r="F21" s="6" t="s">
        <v>71</v>
      </c>
      <c r="G21" s="6" t="s">
        <v>101</v>
      </c>
      <c r="H21" s="6" t="s">
        <v>198</v>
      </c>
      <c r="I21" s="6" t="s">
        <v>159</v>
      </c>
      <c r="J21" s="6" t="s">
        <v>46</v>
      </c>
      <c r="K21" s="6" t="s">
        <v>47</v>
      </c>
      <c r="L21" s="6" t="s">
        <v>47</v>
      </c>
      <c r="M21" s="6" t="s">
        <v>48</v>
      </c>
      <c r="N21" s="6" t="s">
        <v>199</v>
      </c>
      <c r="O21" s="6" t="s">
        <v>48</v>
      </c>
      <c r="P21" s="6" t="s">
        <v>48</v>
      </c>
    </row>
    <row r="22" customFormat="false" ht="68.65" hidden="false" customHeight="false" outlineLevel="0" collapsed="false">
      <c r="A22" s="6" t="s">
        <v>200</v>
      </c>
      <c r="B22" s="6" t="s">
        <v>201</v>
      </c>
      <c r="C22" s="6" t="s">
        <v>202</v>
      </c>
      <c r="D22" s="6" t="s">
        <v>203</v>
      </c>
      <c r="E22" s="6" t="s">
        <v>204</v>
      </c>
      <c r="F22" s="6" t="s">
        <v>42</v>
      </c>
      <c r="G22" s="6" t="s">
        <v>205</v>
      </c>
      <c r="H22" s="6" t="s">
        <v>48</v>
      </c>
      <c r="I22" s="6" t="s">
        <v>206</v>
      </c>
      <c r="J22" s="6" t="s">
        <v>48</v>
      </c>
      <c r="K22" s="6" t="s">
        <v>207</v>
      </c>
      <c r="L22" s="6" t="s">
        <v>47</v>
      </c>
      <c r="M22" s="6" t="s">
        <v>48</v>
      </c>
      <c r="N22" s="6" t="s">
        <v>208</v>
      </c>
      <c r="O22" s="6" t="s">
        <v>209</v>
      </c>
      <c r="P22" s="6" t="s">
        <v>210</v>
      </c>
    </row>
  </sheetData>
  <conditionalFormatting sqref="L2:L22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"Partial"</formula>
    </cfRule>
    <cfRule type="cellIs" priority="4" operator="equal" aboveAverage="0" equalAverage="0" bottom="0" percent="0" rank="0" text="" dxfId="7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5" t="s">
        <v>211</v>
      </c>
      <c r="B1" s="5" t="s">
        <v>212</v>
      </c>
      <c r="C1" s="5" t="s">
        <v>213</v>
      </c>
      <c r="D1" s="5" t="s">
        <v>214</v>
      </c>
      <c r="E1" s="5" t="s">
        <v>215</v>
      </c>
      <c r="F1" s="5" t="s">
        <v>216</v>
      </c>
    </row>
    <row r="2" customFormat="false" ht="15" hidden="false" customHeight="false" outlineLevel="0" collapsed="false">
      <c r="A2" s="6" t="s">
        <v>217</v>
      </c>
      <c r="B2" s="6" t="s">
        <v>218</v>
      </c>
      <c r="C2" s="6" t="s">
        <v>219</v>
      </c>
      <c r="D2" s="7" t="n">
        <v>4250</v>
      </c>
      <c r="E2" s="6" t="n">
        <v>12</v>
      </c>
      <c r="F2" s="6" t="s">
        <v>220</v>
      </c>
    </row>
    <row r="3" customFormat="false" ht="15" hidden="false" customHeight="false" outlineLevel="0" collapsed="false">
      <c r="A3" s="6" t="s">
        <v>221</v>
      </c>
      <c r="B3" s="6" t="s">
        <v>218</v>
      </c>
      <c r="C3" s="6" t="s">
        <v>222</v>
      </c>
      <c r="D3" s="7" t="n">
        <v>10</v>
      </c>
      <c r="E3" s="6" t="n">
        <v>1</v>
      </c>
      <c r="F3" s="6" t="s">
        <v>223</v>
      </c>
    </row>
    <row r="4" customFormat="false" ht="15" hidden="false" customHeight="false" outlineLevel="0" collapsed="false">
      <c r="A4" s="6" t="s">
        <v>224</v>
      </c>
      <c r="B4" s="6" t="s">
        <v>225</v>
      </c>
      <c r="C4" s="6" t="s">
        <v>219</v>
      </c>
      <c r="D4" s="7" t="n">
        <v>4560</v>
      </c>
      <c r="E4" s="6" t="n">
        <v>1</v>
      </c>
      <c r="F4" s="6" t="s">
        <v>226</v>
      </c>
    </row>
    <row r="5" customFormat="false" ht="15" hidden="false" customHeight="false" outlineLevel="0" collapsed="false">
      <c r="A5" s="6" t="s">
        <v>227</v>
      </c>
      <c r="B5" s="6" t="s">
        <v>158</v>
      </c>
      <c r="C5" s="6" t="s">
        <v>228</v>
      </c>
      <c r="D5" s="7" t="n">
        <v>4940</v>
      </c>
      <c r="E5" s="6" t="n">
        <v>1</v>
      </c>
      <c r="F5" s="6" t="s">
        <v>229</v>
      </c>
    </row>
    <row r="6" customFormat="false" ht="15" hidden="false" customHeight="false" outlineLevel="0" collapsed="false">
      <c r="A6" s="6" t="s">
        <v>230</v>
      </c>
      <c r="B6" s="6" t="s">
        <v>158</v>
      </c>
      <c r="C6" s="6" t="s">
        <v>228</v>
      </c>
      <c r="D6" s="7" t="n">
        <v>9260</v>
      </c>
      <c r="E6" s="6" t="n">
        <v>1</v>
      </c>
      <c r="F6" s="6" t="s">
        <v>229</v>
      </c>
    </row>
    <row r="7" customFormat="false" ht="15" hidden="false" customHeight="false" outlineLevel="0" collapsed="false">
      <c r="A7" s="6" t="s">
        <v>231</v>
      </c>
      <c r="B7" s="6" t="s">
        <v>158</v>
      </c>
      <c r="C7" s="6" t="s">
        <v>228</v>
      </c>
      <c r="D7" s="7" t="n">
        <v>7361</v>
      </c>
      <c r="E7" s="6" t="n">
        <v>1</v>
      </c>
      <c r="F7" s="6" t="s">
        <v>232</v>
      </c>
    </row>
    <row r="8" customFormat="false" ht="15" hidden="false" customHeight="false" outlineLevel="0" collapsed="false">
      <c r="A8" s="6" t="s">
        <v>233</v>
      </c>
      <c r="B8" s="6" t="s">
        <v>158</v>
      </c>
      <c r="C8" s="6" t="s">
        <v>234</v>
      </c>
      <c r="D8" s="7" t="n">
        <v>205744</v>
      </c>
      <c r="E8" s="6" t="n">
        <v>1</v>
      </c>
      <c r="F8" s="6" t="s">
        <v>235</v>
      </c>
    </row>
    <row r="9" customFormat="false" ht="15" hidden="false" customHeight="false" outlineLevel="0" collapsed="false">
      <c r="A9" s="6" t="s">
        <v>236</v>
      </c>
      <c r="B9" s="6" t="s">
        <v>237</v>
      </c>
      <c r="C9" s="6" t="s">
        <v>219</v>
      </c>
      <c r="D9" s="7" t="n">
        <v>7894</v>
      </c>
      <c r="E9" s="6" t="n">
        <v>12</v>
      </c>
      <c r="F9" s="6" t="s">
        <v>238</v>
      </c>
    </row>
    <row r="10" customFormat="false" ht="15" hidden="false" customHeight="false" outlineLevel="0" collapsed="false">
      <c r="A10" s="6" t="s">
        <v>239</v>
      </c>
      <c r="B10" s="6" t="s">
        <v>237</v>
      </c>
      <c r="C10" s="6" t="s">
        <v>219</v>
      </c>
      <c r="D10" s="7" t="n">
        <v>126348</v>
      </c>
      <c r="E10" s="6" t="n">
        <v>12</v>
      </c>
      <c r="F10" s="6" t="s">
        <v>240</v>
      </c>
    </row>
    <row r="11" customFormat="false" ht="23.85" hidden="false" customHeight="false" outlineLevel="0" collapsed="false">
      <c r="A11" s="6" t="s">
        <v>241</v>
      </c>
      <c r="B11" s="6" t="s">
        <v>237</v>
      </c>
      <c r="C11" s="6" t="s">
        <v>219</v>
      </c>
      <c r="D11" s="7" t="n">
        <v>298642</v>
      </c>
      <c r="E11" s="6" t="n">
        <v>12</v>
      </c>
      <c r="F11" s="6" t="s">
        <v>242</v>
      </c>
    </row>
    <row r="12" customFormat="false" ht="15" hidden="false" customHeight="false" outlineLevel="0" collapsed="false">
      <c r="A12" s="6" t="s">
        <v>243</v>
      </c>
      <c r="B12" s="6" t="s">
        <v>237</v>
      </c>
      <c r="C12" s="6" t="s">
        <v>244</v>
      </c>
      <c r="D12" s="7" t="n">
        <v>77</v>
      </c>
      <c r="E12" s="6" t="n">
        <v>1</v>
      </c>
      <c r="F12" s="6" t="s">
        <v>245</v>
      </c>
    </row>
    <row r="13" customFormat="false" ht="15" hidden="false" customHeight="false" outlineLevel="0" collapsed="false">
      <c r="A13" s="6" t="s">
        <v>246</v>
      </c>
      <c r="B13" s="6" t="s">
        <v>237</v>
      </c>
      <c r="C13" s="6" t="s">
        <v>244</v>
      </c>
      <c r="D13" s="7" t="n">
        <v>462</v>
      </c>
      <c r="E13" s="6" t="n">
        <v>1</v>
      </c>
      <c r="F13" s="6" t="s">
        <v>247</v>
      </c>
    </row>
    <row r="14" customFormat="false" ht="15" hidden="false" customHeight="false" outlineLevel="0" collapsed="false">
      <c r="A14" s="6" t="s">
        <v>248</v>
      </c>
      <c r="B14" s="6" t="s">
        <v>249</v>
      </c>
      <c r="C14" s="6" t="s">
        <v>250</v>
      </c>
      <c r="D14" s="7" t="n">
        <v>158770</v>
      </c>
      <c r="E14" s="6" t="n">
        <v>10</v>
      </c>
      <c r="F14" s="6" t="s">
        <v>251</v>
      </c>
    </row>
    <row r="15" customFormat="false" ht="23.85" hidden="false" customHeight="false" outlineLevel="0" collapsed="false">
      <c r="A15" s="6" t="s">
        <v>252</v>
      </c>
      <c r="B15" s="6" t="s">
        <v>249</v>
      </c>
      <c r="C15" s="6" t="s">
        <v>250</v>
      </c>
      <c r="D15" s="7" t="n">
        <v>7878</v>
      </c>
      <c r="E15" s="6" t="n">
        <v>10</v>
      </c>
      <c r="F15" s="6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4" min="3" style="0" width="24"/>
    <col collapsed="false" customWidth="true" hidden="false" outlineLevel="0" max="5" min="5" style="0" width="34"/>
    <col collapsed="false" customWidth="true" hidden="false" outlineLevel="0" max="6" min="6" style="0" width="48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52.2" hidden="false" customHeight="false" outlineLevel="0" collapsed="false">
      <c r="A1" s="5" t="s">
        <v>254</v>
      </c>
      <c r="B1" s="5" t="s">
        <v>255</v>
      </c>
      <c r="C1" s="5" t="s">
        <v>256</v>
      </c>
      <c r="D1" s="5" t="s">
        <v>257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262</v>
      </c>
    </row>
    <row r="2" customFormat="false" ht="15" hidden="false" customHeight="false" outlineLevel="0" collapsed="false">
      <c r="A2" s="6" t="s">
        <v>263</v>
      </c>
      <c r="B2" s="6" t="s">
        <v>264</v>
      </c>
      <c r="C2" s="6" t="s">
        <v>265</v>
      </c>
      <c r="D2" s="6" t="s">
        <v>266</v>
      </c>
      <c r="E2" s="6" t="s">
        <v>267</v>
      </c>
      <c r="F2" s="6" t="s">
        <v>268</v>
      </c>
      <c r="G2" s="6" t="s">
        <v>48</v>
      </c>
      <c r="H2" s="6" t="s">
        <v>47</v>
      </c>
      <c r="I2" s="6" t="s">
        <v>269</v>
      </c>
    </row>
    <row r="3" customFormat="false" ht="35.05" hidden="false" customHeight="false" outlineLevel="0" collapsed="false">
      <c r="A3" s="6" t="s">
        <v>270</v>
      </c>
      <c r="B3" s="6" t="s">
        <v>38</v>
      </c>
      <c r="C3" s="6" t="s">
        <v>271</v>
      </c>
      <c r="D3" s="6" t="s">
        <v>272</v>
      </c>
      <c r="E3" s="6" t="s">
        <v>273</v>
      </c>
      <c r="F3" s="6" t="s">
        <v>274</v>
      </c>
      <c r="G3" s="6" t="s">
        <v>275</v>
      </c>
      <c r="H3" s="6" t="s">
        <v>47</v>
      </c>
      <c r="I3" s="6" t="s">
        <v>276</v>
      </c>
    </row>
    <row r="4" customFormat="false" ht="35.05" hidden="false" customHeight="false" outlineLevel="0" collapsed="false">
      <c r="A4" s="6" t="s">
        <v>277</v>
      </c>
      <c r="B4" s="6" t="s">
        <v>278</v>
      </c>
      <c r="C4" s="6" t="s">
        <v>279</v>
      </c>
      <c r="D4" s="6" t="s">
        <v>280</v>
      </c>
      <c r="E4" s="6" t="s">
        <v>281</v>
      </c>
      <c r="F4" s="6" t="s">
        <v>282</v>
      </c>
      <c r="G4" s="6" t="s">
        <v>283</v>
      </c>
      <c r="H4" s="6" t="s">
        <v>47</v>
      </c>
      <c r="I4" s="6" t="s">
        <v>276</v>
      </c>
    </row>
    <row r="5" customFormat="false" ht="35.05" hidden="false" customHeight="false" outlineLevel="0" collapsed="false">
      <c r="A5" s="6" t="s">
        <v>284</v>
      </c>
      <c r="B5" s="6" t="s">
        <v>278</v>
      </c>
      <c r="C5" s="6" t="s">
        <v>285</v>
      </c>
      <c r="D5" s="6" t="s">
        <v>286</v>
      </c>
      <c r="E5" s="6" t="s">
        <v>287</v>
      </c>
      <c r="F5" s="6" t="s">
        <v>288</v>
      </c>
      <c r="G5" s="6" t="s">
        <v>283</v>
      </c>
      <c r="H5" s="6" t="s">
        <v>47</v>
      </c>
      <c r="I5" s="6" t="s">
        <v>276</v>
      </c>
    </row>
    <row r="6" customFormat="false" ht="35.05" hidden="false" customHeight="false" outlineLevel="0" collapsed="false">
      <c r="A6" s="6" t="s">
        <v>289</v>
      </c>
      <c r="B6" s="6" t="s">
        <v>38</v>
      </c>
      <c r="C6" s="6" t="s">
        <v>290</v>
      </c>
      <c r="D6" s="6" t="s">
        <v>291</v>
      </c>
      <c r="E6" s="6" t="s">
        <v>292</v>
      </c>
      <c r="F6" s="6" t="s">
        <v>293</v>
      </c>
      <c r="G6" s="6" t="s">
        <v>294</v>
      </c>
      <c r="H6" s="6" t="s">
        <v>47</v>
      </c>
      <c r="I6" s="6" t="s">
        <v>295</v>
      </c>
    </row>
    <row r="7" customFormat="false" ht="35.05" hidden="false" customHeight="false" outlineLevel="0" collapsed="false">
      <c r="A7" s="6" t="s">
        <v>296</v>
      </c>
      <c r="B7" s="6" t="s">
        <v>278</v>
      </c>
      <c r="C7" s="6" t="s">
        <v>297</v>
      </c>
      <c r="D7" s="6" t="s">
        <v>298</v>
      </c>
      <c r="E7" s="6" t="s">
        <v>299</v>
      </c>
      <c r="F7" s="6" t="s">
        <v>300</v>
      </c>
      <c r="G7" s="6" t="s">
        <v>59</v>
      </c>
      <c r="H7" s="6" t="s">
        <v>47</v>
      </c>
      <c r="I7" s="6" t="s">
        <v>276</v>
      </c>
    </row>
    <row r="8" customFormat="false" ht="35.05" hidden="false" customHeight="false" outlineLevel="0" collapsed="false">
      <c r="A8" s="6" t="s">
        <v>301</v>
      </c>
      <c r="B8" s="6" t="s">
        <v>278</v>
      </c>
      <c r="C8" s="6" t="s">
        <v>302</v>
      </c>
      <c r="D8" s="6" t="s">
        <v>303</v>
      </c>
      <c r="E8" s="6" t="s">
        <v>304</v>
      </c>
      <c r="F8" s="6" t="s">
        <v>305</v>
      </c>
      <c r="G8" s="6" t="s">
        <v>306</v>
      </c>
      <c r="H8" s="6" t="s">
        <v>47</v>
      </c>
      <c r="I8" s="6" t="s">
        <v>276</v>
      </c>
    </row>
    <row r="9" customFormat="false" ht="35.05" hidden="false" customHeight="false" outlineLevel="0" collapsed="false">
      <c r="A9" s="6" t="s">
        <v>307</v>
      </c>
      <c r="B9" s="6" t="s">
        <v>278</v>
      </c>
      <c r="C9" s="6" t="s">
        <v>308</v>
      </c>
      <c r="D9" s="6" t="s">
        <v>309</v>
      </c>
      <c r="E9" s="6" t="s">
        <v>310</v>
      </c>
      <c r="F9" s="6" t="s">
        <v>311</v>
      </c>
      <c r="G9" s="6" t="s">
        <v>312</v>
      </c>
      <c r="H9" s="6" t="s">
        <v>47</v>
      </c>
      <c r="I9" s="6" t="s">
        <v>276</v>
      </c>
    </row>
    <row r="10" customFormat="false" ht="35.05" hidden="false" customHeight="false" outlineLevel="0" collapsed="false">
      <c r="A10" s="6" t="s">
        <v>313</v>
      </c>
      <c r="B10" s="6" t="s">
        <v>278</v>
      </c>
      <c r="C10" s="6" t="s">
        <v>314</v>
      </c>
      <c r="D10" s="6" t="s">
        <v>315</v>
      </c>
      <c r="E10" s="6" t="s">
        <v>316</v>
      </c>
      <c r="F10" s="6" t="s">
        <v>317</v>
      </c>
      <c r="G10" s="6" t="s">
        <v>318</v>
      </c>
      <c r="H10" s="6" t="s">
        <v>47</v>
      </c>
      <c r="I10" s="6" t="s">
        <v>276</v>
      </c>
    </row>
    <row r="11" customFormat="false" ht="35.05" hidden="false" customHeight="false" outlineLevel="0" collapsed="false">
      <c r="A11" s="6" t="s">
        <v>319</v>
      </c>
      <c r="B11" s="6" t="s">
        <v>278</v>
      </c>
      <c r="C11" s="6" t="s">
        <v>320</v>
      </c>
      <c r="D11" s="6" t="s">
        <v>321</v>
      </c>
      <c r="E11" s="6" t="s">
        <v>322</v>
      </c>
      <c r="F11" s="6" t="s">
        <v>323</v>
      </c>
      <c r="G11" s="6" t="s">
        <v>149</v>
      </c>
      <c r="H11" s="6" t="s">
        <v>47</v>
      </c>
      <c r="I11" s="6" t="s">
        <v>276</v>
      </c>
    </row>
    <row r="12" customFormat="false" ht="35.05" hidden="false" customHeight="false" outlineLevel="0" collapsed="false">
      <c r="A12" s="6" t="s">
        <v>324</v>
      </c>
      <c r="B12" s="6" t="s">
        <v>278</v>
      </c>
      <c r="C12" s="6" t="s">
        <v>325</v>
      </c>
      <c r="D12" s="6" t="s">
        <v>326</v>
      </c>
      <c r="E12" s="6" t="s">
        <v>327</v>
      </c>
      <c r="F12" s="6" t="s">
        <v>328</v>
      </c>
      <c r="G12" s="6" t="s">
        <v>149</v>
      </c>
      <c r="H12" s="6" t="s">
        <v>47</v>
      </c>
      <c r="I12" s="6" t="s">
        <v>276</v>
      </c>
    </row>
    <row r="13" customFormat="false" ht="35.05" hidden="false" customHeight="false" outlineLevel="0" collapsed="false">
      <c r="A13" s="6" t="s">
        <v>329</v>
      </c>
      <c r="B13" s="6" t="s">
        <v>278</v>
      </c>
      <c r="C13" s="6" t="s">
        <v>330</v>
      </c>
      <c r="D13" s="6" t="s">
        <v>331</v>
      </c>
      <c r="E13" s="6" t="s">
        <v>332</v>
      </c>
      <c r="F13" s="6" t="s">
        <v>333</v>
      </c>
      <c r="G13" s="6" t="s">
        <v>334</v>
      </c>
      <c r="H13" s="6" t="s">
        <v>47</v>
      </c>
      <c r="I13" s="6" t="s">
        <v>276</v>
      </c>
    </row>
    <row r="14" customFormat="false" ht="35.05" hidden="false" customHeight="false" outlineLevel="0" collapsed="false">
      <c r="A14" s="6" t="s">
        <v>335</v>
      </c>
      <c r="B14" s="6" t="s">
        <v>278</v>
      </c>
      <c r="C14" s="6" t="s">
        <v>336</v>
      </c>
      <c r="D14" s="6" t="s">
        <v>337</v>
      </c>
      <c r="E14" s="6" t="s">
        <v>338</v>
      </c>
      <c r="F14" s="6" t="s">
        <v>339</v>
      </c>
      <c r="G14" s="6" t="s">
        <v>166</v>
      </c>
      <c r="H14" s="6" t="s">
        <v>47</v>
      </c>
      <c r="I14" s="6" t="s">
        <v>276</v>
      </c>
    </row>
    <row r="15" customFormat="false" ht="23.85" hidden="false" customHeight="false" outlineLevel="0" collapsed="false">
      <c r="A15" s="6" t="s">
        <v>340</v>
      </c>
      <c r="B15" s="6" t="s">
        <v>341</v>
      </c>
      <c r="C15" s="6" t="s">
        <v>342</v>
      </c>
      <c r="D15" s="6" t="s">
        <v>343</v>
      </c>
      <c r="E15" s="6" t="s">
        <v>344</v>
      </c>
      <c r="F15" s="6" t="s">
        <v>345</v>
      </c>
      <c r="G15" s="6" t="s">
        <v>346</v>
      </c>
      <c r="H15" s="6" t="s">
        <v>347</v>
      </c>
      <c r="I15" s="6" t="s">
        <v>348</v>
      </c>
    </row>
    <row r="16" customFormat="false" ht="35.05" hidden="false" customHeight="false" outlineLevel="0" collapsed="false">
      <c r="A16" s="6" t="s">
        <v>349</v>
      </c>
      <c r="B16" s="6" t="s">
        <v>278</v>
      </c>
      <c r="C16" s="6" t="s">
        <v>350</v>
      </c>
      <c r="D16" s="6" t="s">
        <v>351</v>
      </c>
      <c r="E16" s="6" t="s">
        <v>352</v>
      </c>
      <c r="F16" s="6" t="s">
        <v>353</v>
      </c>
      <c r="G16" s="6" t="s">
        <v>354</v>
      </c>
      <c r="H16" s="6" t="s">
        <v>47</v>
      </c>
      <c r="I16" s="6" t="s">
        <v>276</v>
      </c>
    </row>
    <row r="17" customFormat="false" ht="35.05" hidden="false" customHeight="false" outlineLevel="0" collapsed="false">
      <c r="A17" s="6" t="s">
        <v>355</v>
      </c>
      <c r="B17" s="6" t="s">
        <v>278</v>
      </c>
      <c r="C17" s="6" t="s">
        <v>350</v>
      </c>
      <c r="D17" s="6" t="s">
        <v>356</v>
      </c>
      <c r="E17" s="6" t="s">
        <v>357</v>
      </c>
      <c r="F17" s="6" t="s">
        <v>358</v>
      </c>
      <c r="G17" s="6" t="s">
        <v>354</v>
      </c>
      <c r="H17" s="6" t="s">
        <v>47</v>
      </c>
      <c r="I17" s="6" t="s">
        <v>276</v>
      </c>
    </row>
    <row r="18" customFormat="false" ht="35.05" hidden="false" customHeight="false" outlineLevel="0" collapsed="false">
      <c r="A18" s="6" t="s">
        <v>359</v>
      </c>
      <c r="B18" s="6" t="s">
        <v>278</v>
      </c>
      <c r="C18" s="6" t="s">
        <v>350</v>
      </c>
      <c r="D18" s="6" t="s">
        <v>360</v>
      </c>
      <c r="E18" s="6" t="s">
        <v>361</v>
      </c>
      <c r="F18" s="6" t="s">
        <v>362</v>
      </c>
      <c r="G18" s="6" t="s">
        <v>125</v>
      </c>
      <c r="H18" s="6" t="s">
        <v>47</v>
      </c>
      <c r="I18" s="6" t="s">
        <v>276</v>
      </c>
    </row>
    <row r="19" customFormat="false" ht="35.05" hidden="false" customHeight="false" outlineLevel="0" collapsed="false">
      <c r="A19" s="6" t="s">
        <v>363</v>
      </c>
      <c r="B19" s="6" t="s">
        <v>278</v>
      </c>
      <c r="C19" s="6" t="s">
        <v>350</v>
      </c>
      <c r="D19" s="6" t="s">
        <v>364</v>
      </c>
      <c r="E19" s="6" t="s">
        <v>365</v>
      </c>
      <c r="F19" s="6" t="s">
        <v>366</v>
      </c>
      <c r="G19" s="6" t="s">
        <v>125</v>
      </c>
      <c r="H19" s="6" t="s">
        <v>47</v>
      </c>
      <c r="I19" s="6" t="s">
        <v>276</v>
      </c>
    </row>
    <row r="20" customFormat="false" ht="35.05" hidden="false" customHeight="false" outlineLevel="0" collapsed="false">
      <c r="A20" s="6" t="s">
        <v>367</v>
      </c>
      <c r="B20" s="6" t="s">
        <v>278</v>
      </c>
      <c r="C20" s="6" t="s">
        <v>350</v>
      </c>
      <c r="D20" s="6" t="s">
        <v>368</v>
      </c>
      <c r="E20" s="6" t="s">
        <v>369</v>
      </c>
      <c r="F20" s="6" t="s">
        <v>358</v>
      </c>
      <c r="G20" s="6" t="s">
        <v>370</v>
      </c>
      <c r="H20" s="6" t="s">
        <v>47</v>
      </c>
      <c r="I20" s="6" t="s">
        <v>276</v>
      </c>
    </row>
    <row r="21" customFormat="false" ht="35.05" hidden="false" customHeight="false" outlineLevel="0" collapsed="false">
      <c r="A21" s="6" t="s">
        <v>371</v>
      </c>
      <c r="B21" s="6" t="s">
        <v>278</v>
      </c>
      <c r="C21" s="6" t="s">
        <v>350</v>
      </c>
      <c r="D21" s="6" t="s">
        <v>372</v>
      </c>
      <c r="E21" s="6" t="s">
        <v>373</v>
      </c>
      <c r="F21" s="6" t="s">
        <v>374</v>
      </c>
      <c r="G21" s="6" t="s">
        <v>354</v>
      </c>
      <c r="H21" s="6" t="s">
        <v>47</v>
      </c>
      <c r="I21" s="6" t="s">
        <v>276</v>
      </c>
    </row>
    <row r="22" customFormat="false" ht="35.05" hidden="false" customHeight="false" outlineLevel="0" collapsed="false">
      <c r="A22" s="6" t="s">
        <v>375</v>
      </c>
      <c r="B22" s="6" t="s">
        <v>278</v>
      </c>
      <c r="C22" s="6" t="s">
        <v>350</v>
      </c>
      <c r="D22" s="6" t="s">
        <v>376</v>
      </c>
      <c r="E22" s="6" t="s">
        <v>377</v>
      </c>
      <c r="F22" s="6" t="s">
        <v>378</v>
      </c>
      <c r="G22" s="6" t="s">
        <v>354</v>
      </c>
      <c r="H22" s="6" t="s">
        <v>47</v>
      </c>
      <c r="I22" s="6" t="s">
        <v>276</v>
      </c>
    </row>
    <row r="23" customFormat="false" ht="35.05" hidden="false" customHeight="false" outlineLevel="0" collapsed="false">
      <c r="A23" s="6" t="s">
        <v>379</v>
      </c>
      <c r="B23" s="6" t="s">
        <v>341</v>
      </c>
      <c r="C23" s="6" t="s">
        <v>350</v>
      </c>
      <c r="D23" s="6" t="s">
        <v>380</v>
      </c>
      <c r="E23" s="6" t="s">
        <v>381</v>
      </c>
      <c r="F23" s="6" t="s">
        <v>382</v>
      </c>
      <c r="G23" s="6" t="s">
        <v>125</v>
      </c>
      <c r="H23" s="6" t="s">
        <v>47</v>
      </c>
      <c r="I23" s="6" t="s">
        <v>276</v>
      </c>
    </row>
    <row r="24" customFormat="false" ht="35.05" hidden="false" customHeight="false" outlineLevel="0" collapsed="false">
      <c r="A24" s="6" t="s">
        <v>383</v>
      </c>
      <c r="B24" s="6" t="s">
        <v>105</v>
      </c>
      <c r="C24" s="6" t="s">
        <v>384</v>
      </c>
      <c r="D24" s="6" t="s">
        <v>385</v>
      </c>
      <c r="E24" s="6" t="s">
        <v>386</v>
      </c>
      <c r="F24" s="6" t="s">
        <v>387</v>
      </c>
      <c r="G24" s="6" t="s">
        <v>388</v>
      </c>
      <c r="H24" s="6" t="s">
        <v>47</v>
      </c>
      <c r="I24" s="6" t="s">
        <v>295</v>
      </c>
    </row>
    <row r="25" customFormat="false" ht="35.05" hidden="false" customHeight="false" outlineLevel="0" collapsed="false">
      <c r="A25" s="6" t="s">
        <v>389</v>
      </c>
      <c r="B25" s="6" t="s">
        <v>105</v>
      </c>
      <c r="C25" s="6" t="s">
        <v>390</v>
      </c>
      <c r="D25" s="6" t="s">
        <v>391</v>
      </c>
      <c r="E25" s="6" t="s">
        <v>392</v>
      </c>
      <c r="F25" s="6" t="s">
        <v>393</v>
      </c>
      <c r="G25" s="6" t="s">
        <v>125</v>
      </c>
      <c r="H25" s="6" t="s">
        <v>47</v>
      </c>
      <c r="I25" s="6" t="s">
        <v>295</v>
      </c>
    </row>
    <row r="26" customFormat="false" ht="35.05" hidden="false" customHeight="false" outlineLevel="0" collapsed="false">
      <c r="A26" s="6" t="s">
        <v>394</v>
      </c>
      <c r="B26" s="6" t="s">
        <v>105</v>
      </c>
      <c r="C26" s="6" t="s">
        <v>395</v>
      </c>
      <c r="D26" s="6" t="s">
        <v>169</v>
      </c>
      <c r="E26" s="6" t="s">
        <v>396</v>
      </c>
      <c r="F26" s="6" t="s">
        <v>397</v>
      </c>
      <c r="G26" s="6" t="s">
        <v>398</v>
      </c>
      <c r="H26" s="6" t="s">
        <v>47</v>
      </c>
      <c r="I26" s="6" t="s">
        <v>295</v>
      </c>
    </row>
    <row r="27" customFormat="false" ht="35.05" hidden="false" customHeight="false" outlineLevel="0" collapsed="false">
      <c r="A27" s="6" t="s">
        <v>399</v>
      </c>
      <c r="B27" s="6" t="s">
        <v>105</v>
      </c>
      <c r="C27" s="6" t="s">
        <v>400</v>
      </c>
      <c r="D27" s="6" t="s">
        <v>169</v>
      </c>
      <c r="E27" s="6" t="s">
        <v>401</v>
      </c>
      <c r="F27" s="6" t="s">
        <v>402</v>
      </c>
      <c r="G27" s="6" t="s">
        <v>403</v>
      </c>
      <c r="H27" s="6" t="s">
        <v>47</v>
      </c>
      <c r="I27" s="6" t="s">
        <v>295</v>
      </c>
    </row>
    <row r="28" customFormat="false" ht="35.05" hidden="false" customHeight="false" outlineLevel="0" collapsed="false">
      <c r="A28" s="6" t="s">
        <v>404</v>
      </c>
      <c r="B28" s="6" t="s">
        <v>105</v>
      </c>
      <c r="C28" s="6" t="s">
        <v>405</v>
      </c>
      <c r="D28" s="6" t="s">
        <v>169</v>
      </c>
      <c r="E28" s="6" t="s">
        <v>406</v>
      </c>
      <c r="F28" s="6" t="s">
        <v>407</v>
      </c>
      <c r="G28" s="6" t="s">
        <v>408</v>
      </c>
      <c r="H28" s="6" t="s">
        <v>47</v>
      </c>
      <c r="I28" s="6" t="s">
        <v>295</v>
      </c>
    </row>
    <row r="29" customFormat="false" ht="35.05" hidden="false" customHeight="false" outlineLevel="0" collapsed="false">
      <c r="A29" s="6" t="s">
        <v>409</v>
      </c>
      <c r="B29" s="6" t="s">
        <v>105</v>
      </c>
      <c r="C29" s="6" t="s">
        <v>410</v>
      </c>
      <c r="D29" s="6" t="s">
        <v>411</v>
      </c>
      <c r="E29" s="6" t="s">
        <v>412</v>
      </c>
      <c r="F29" s="6" t="s">
        <v>413</v>
      </c>
      <c r="G29" s="6" t="s">
        <v>414</v>
      </c>
      <c r="H29" s="6" t="s">
        <v>47</v>
      </c>
      <c r="I29" s="6" t="s">
        <v>415</v>
      </c>
    </row>
    <row r="30" customFormat="false" ht="35.05" hidden="false" customHeight="false" outlineLevel="0" collapsed="false">
      <c r="A30" s="6" t="s">
        <v>416</v>
      </c>
      <c r="B30" s="6" t="s">
        <v>105</v>
      </c>
      <c r="C30" s="6" t="s">
        <v>417</v>
      </c>
      <c r="D30" s="6" t="s">
        <v>418</v>
      </c>
      <c r="E30" s="6" t="s">
        <v>419</v>
      </c>
      <c r="F30" s="6" t="s">
        <v>420</v>
      </c>
      <c r="G30" s="6" t="s">
        <v>414</v>
      </c>
      <c r="H30" s="6" t="s">
        <v>47</v>
      </c>
      <c r="I30" s="6" t="s">
        <v>415</v>
      </c>
    </row>
    <row r="31" customFormat="false" ht="15" hidden="false" customHeight="false" outlineLevel="0" collapsed="false">
      <c r="A31" s="6" t="s">
        <v>421</v>
      </c>
      <c r="B31" s="6" t="s">
        <v>105</v>
      </c>
      <c r="C31" s="6" t="s">
        <v>174</v>
      </c>
      <c r="D31" s="6" t="s">
        <v>422</v>
      </c>
      <c r="E31" s="6" t="s">
        <v>423</v>
      </c>
      <c r="F31" s="6" t="s">
        <v>424</v>
      </c>
      <c r="G31" s="6" t="s">
        <v>172</v>
      </c>
      <c r="H31" s="6" t="s">
        <v>47</v>
      </c>
      <c r="I31" s="6" t="s">
        <v>425</v>
      </c>
    </row>
    <row r="32" customFormat="false" ht="35.05" hidden="false" customHeight="false" outlineLevel="0" collapsed="false">
      <c r="A32" s="6" t="s">
        <v>426</v>
      </c>
      <c r="B32" s="6" t="s">
        <v>105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47</v>
      </c>
      <c r="I32" s="6" t="s">
        <v>295</v>
      </c>
    </row>
    <row r="33" customFormat="false" ht="15" hidden="false" customHeight="false" outlineLevel="0" collapsed="false">
      <c r="A33" s="6" t="s">
        <v>432</v>
      </c>
      <c r="B33" s="6" t="s">
        <v>264</v>
      </c>
      <c r="C33" s="6" t="s">
        <v>433</v>
      </c>
      <c r="D33" s="6" t="s">
        <v>434</v>
      </c>
      <c r="E33" s="6" t="s">
        <v>435</v>
      </c>
      <c r="F33" s="6" t="s">
        <v>436</v>
      </c>
      <c r="G33" s="6" t="s">
        <v>48</v>
      </c>
      <c r="H33" s="6" t="s">
        <v>47</v>
      </c>
      <c r="I33" s="6" t="s">
        <v>269</v>
      </c>
    </row>
  </sheetData>
  <conditionalFormatting sqref="H2:H33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"Partial"</formula>
    </cfRule>
    <cfRule type="cellIs" priority="4" operator="equal" aboveAverage="0" equalAverage="0" bottom="0" percent="0" rank="0" text="" dxfId="7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0"/>
  </cols>
  <sheetData>
    <row r="1" customFormat="false" ht="26.85" hidden="false" customHeight="false" outlineLevel="0" collapsed="false">
      <c r="A1" s="5" t="s">
        <v>437</v>
      </c>
      <c r="B1" s="5" t="s">
        <v>438</v>
      </c>
      <c r="C1" s="5" t="s">
        <v>439</v>
      </c>
      <c r="D1" s="5" t="s">
        <v>440</v>
      </c>
      <c r="E1" s="5" t="s">
        <v>441</v>
      </c>
    </row>
    <row r="2" customFormat="false" ht="15" hidden="false" customHeight="false" outlineLevel="0" collapsed="false">
      <c r="A2" s="6" t="s">
        <v>442</v>
      </c>
      <c r="B2" s="6" t="s">
        <v>443</v>
      </c>
      <c r="C2" s="6" t="s">
        <v>444</v>
      </c>
      <c r="D2" s="6" t="s">
        <v>48</v>
      </c>
      <c r="E2" s="6" t="s">
        <v>47</v>
      </c>
    </row>
    <row r="3" customFormat="false" ht="23.85" hidden="false" customHeight="false" outlineLevel="0" collapsed="false">
      <c r="A3" s="6" t="s">
        <v>445</v>
      </c>
      <c r="B3" s="6" t="s">
        <v>446</v>
      </c>
      <c r="C3" s="6" t="s">
        <v>447</v>
      </c>
      <c r="D3" s="6" t="s">
        <v>48</v>
      </c>
      <c r="E3" s="6" t="s">
        <v>47</v>
      </c>
    </row>
    <row r="4" customFormat="false" ht="15" hidden="false" customHeight="false" outlineLevel="0" collapsed="false">
      <c r="A4" s="6" t="s">
        <v>448</v>
      </c>
      <c r="B4" s="6" t="s">
        <v>449</v>
      </c>
      <c r="C4" s="6" t="s">
        <v>444</v>
      </c>
      <c r="D4" s="6" t="s">
        <v>48</v>
      </c>
      <c r="E4" s="6" t="s">
        <v>47</v>
      </c>
    </row>
    <row r="5" customFormat="false" ht="23.85" hidden="false" customHeight="false" outlineLevel="0" collapsed="false">
      <c r="A5" s="6" t="s">
        <v>450</v>
      </c>
      <c r="B5" s="6" t="s">
        <v>451</v>
      </c>
      <c r="C5" s="6" t="s">
        <v>452</v>
      </c>
      <c r="D5" s="6" t="s">
        <v>48</v>
      </c>
      <c r="E5" s="6" t="s">
        <v>47</v>
      </c>
    </row>
    <row r="6" customFormat="false" ht="23.85" hidden="false" customHeight="false" outlineLevel="0" collapsed="false">
      <c r="A6" s="6" t="s">
        <v>453</v>
      </c>
      <c r="B6" s="6" t="s">
        <v>454</v>
      </c>
      <c r="C6" s="6" t="s">
        <v>455</v>
      </c>
      <c r="D6" s="6" t="s">
        <v>48</v>
      </c>
      <c r="E6" s="6" t="s">
        <v>47</v>
      </c>
    </row>
    <row r="7" customFormat="false" ht="23.85" hidden="false" customHeight="false" outlineLevel="0" collapsed="false">
      <c r="A7" s="6" t="s">
        <v>456</v>
      </c>
      <c r="B7" s="6" t="s">
        <v>457</v>
      </c>
      <c r="C7" s="6" t="s">
        <v>444</v>
      </c>
      <c r="D7" s="6" t="s">
        <v>48</v>
      </c>
      <c r="E7" s="6" t="s">
        <v>47</v>
      </c>
    </row>
    <row r="8" customFormat="false" ht="15" hidden="false" customHeight="false" outlineLevel="0" collapsed="false">
      <c r="A8" s="6" t="s">
        <v>458</v>
      </c>
      <c r="B8" s="6" t="s">
        <v>459</v>
      </c>
      <c r="C8" s="6" t="s">
        <v>460</v>
      </c>
      <c r="D8" s="6" t="s">
        <v>461</v>
      </c>
      <c r="E8" s="6" t="s">
        <v>347</v>
      </c>
    </row>
    <row r="9" customFormat="false" ht="15" hidden="false" customHeight="false" outlineLevel="0" collapsed="false">
      <c r="A9" s="6" t="s">
        <v>462</v>
      </c>
      <c r="B9" s="6" t="s">
        <v>463</v>
      </c>
      <c r="C9" s="6" t="s">
        <v>464</v>
      </c>
      <c r="D9" s="6" t="s">
        <v>465</v>
      </c>
      <c r="E9" s="6" t="s">
        <v>46</v>
      </c>
    </row>
    <row r="10" customFormat="false" ht="15" hidden="false" customHeight="false" outlineLevel="0" collapsed="false">
      <c r="A10" s="6" t="s">
        <v>90</v>
      </c>
      <c r="B10" s="6" t="s">
        <v>466</v>
      </c>
      <c r="C10" s="6" t="s">
        <v>467</v>
      </c>
      <c r="D10" s="6" t="s">
        <v>48</v>
      </c>
      <c r="E10" s="6" t="s">
        <v>46</v>
      </c>
    </row>
    <row r="11" customFormat="false" ht="15" hidden="false" customHeight="false" outlineLevel="0" collapsed="false">
      <c r="A11" s="6" t="s">
        <v>468</v>
      </c>
      <c r="B11" s="6" t="s">
        <v>469</v>
      </c>
      <c r="C11" s="6" t="s">
        <v>470</v>
      </c>
      <c r="D11" s="6" t="s">
        <v>48</v>
      </c>
      <c r="E11" s="6" t="s">
        <v>347</v>
      </c>
    </row>
    <row r="12" customFormat="false" ht="15" hidden="false" customHeight="false" outlineLevel="0" collapsed="false">
      <c r="A12" s="6" t="s">
        <v>471</v>
      </c>
      <c r="B12" s="6" t="s">
        <v>472</v>
      </c>
      <c r="C12" s="6" t="s">
        <v>473</v>
      </c>
      <c r="D12" s="6" t="s">
        <v>48</v>
      </c>
      <c r="E12" s="6" t="s">
        <v>347</v>
      </c>
    </row>
  </sheetData>
  <conditionalFormatting sqref="E2:E12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"Partial"</formula>
    </cfRule>
    <cfRule type="cellIs" priority="4" operator="equal" aboveAverage="0" equalAverage="0" bottom="0" percent="0" rank="0" text="" dxfId="7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5" t="s">
        <v>474</v>
      </c>
      <c r="B1" s="5" t="s">
        <v>475</v>
      </c>
      <c r="C1" s="5" t="s">
        <v>476</v>
      </c>
      <c r="D1" s="5" t="s">
        <v>477</v>
      </c>
      <c r="E1" s="5" t="s">
        <v>478</v>
      </c>
      <c r="F1" s="5" t="s">
        <v>479</v>
      </c>
      <c r="G1" s="5" t="s">
        <v>480</v>
      </c>
    </row>
    <row r="2" customFormat="false" ht="23.85" hidden="false" customHeight="false" outlineLevel="0" collapsed="false">
      <c r="A2" s="6" t="n">
        <v>1</v>
      </c>
      <c r="B2" s="6" t="s">
        <v>481</v>
      </c>
      <c r="C2" s="6" t="s">
        <v>482</v>
      </c>
      <c r="D2" s="6" t="s">
        <v>483</v>
      </c>
      <c r="E2" s="6" t="s">
        <v>484</v>
      </c>
      <c r="F2" s="6" t="s">
        <v>118</v>
      </c>
      <c r="G2" s="6" t="s">
        <v>485</v>
      </c>
    </row>
    <row r="3" customFormat="false" ht="23.85" hidden="false" customHeight="false" outlineLevel="0" collapsed="false">
      <c r="A3" s="6" t="n">
        <v>2</v>
      </c>
      <c r="B3" s="6" t="s">
        <v>481</v>
      </c>
      <c r="C3" s="6" t="s">
        <v>486</v>
      </c>
      <c r="D3" s="6" t="s">
        <v>487</v>
      </c>
      <c r="E3" s="6" t="s">
        <v>59</v>
      </c>
      <c r="F3" s="6" t="s">
        <v>118</v>
      </c>
      <c r="G3" s="6" t="s">
        <v>488</v>
      </c>
    </row>
    <row r="4" customFormat="false" ht="23.85" hidden="false" customHeight="false" outlineLevel="0" collapsed="false">
      <c r="A4" s="6" t="n">
        <v>3</v>
      </c>
      <c r="B4" s="6" t="s">
        <v>481</v>
      </c>
      <c r="C4" s="6" t="s">
        <v>489</v>
      </c>
      <c r="D4" s="6" t="s">
        <v>490</v>
      </c>
      <c r="E4" s="6" t="s">
        <v>491</v>
      </c>
      <c r="F4" s="6" t="s">
        <v>118</v>
      </c>
      <c r="G4" s="6" t="s">
        <v>492</v>
      </c>
    </row>
    <row r="5" customFormat="false" ht="35.05" hidden="false" customHeight="false" outlineLevel="0" collapsed="false">
      <c r="A5" s="6" t="n">
        <v>4</v>
      </c>
      <c r="B5" s="6" t="s">
        <v>481</v>
      </c>
      <c r="C5" s="6" t="s">
        <v>493</v>
      </c>
      <c r="D5" s="6" t="s">
        <v>494</v>
      </c>
      <c r="E5" s="6" t="s">
        <v>48</v>
      </c>
      <c r="F5" s="6" t="s">
        <v>118</v>
      </c>
      <c r="G5" s="6" t="s">
        <v>495</v>
      </c>
    </row>
    <row r="6" customFormat="false" ht="15" hidden="false" customHeight="false" outlineLevel="0" collapsed="false">
      <c r="A6" s="6" t="n">
        <v>5</v>
      </c>
      <c r="B6" s="6" t="s">
        <v>496</v>
      </c>
      <c r="C6" s="6" t="s">
        <v>497</v>
      </c>
      <c r="D6" s="6" t="s">
        <v>498</v>
      </c>
      <c r="E6" s="6" t="s">
        <v>499</v>
      </c>
      <c r="F6" s="6" t="s">
        <v>118</v>
      </c>
      <c r="G6" s="6" t="s">
        <v>500</v>
      </c>
    </row>
    <row r="7" customFormat="false" ht="15" hidden="false" customHeight="false" outlineLevel="0" collapsed="false">
      <c r="A7" s="6" t="n">
        <v>6</v>
      </c>
      <c r="B7" s="6" t="s">
        <v>501</v>
      </c>
      <c r="C7" s="6" t="s">
        <v>502</v>
      </c>
      <c r="D7" s="6" t="s">
        <v>503</v>
      </c>
      <c r="E7" s="6" t="s">
        <v>125</v>
      </c>
      <c r="F7" s="6" t="s">
        <v>118</v>
      </c>
      <c r="G7" s="6" t="s">
        <v>504</v>
      </c>
    </row>
    <row r="8" customFormat="false" ht="23.85" hidden="false" customHeight="false" outlineLevel="0" collapsed="false">
      <c r="A8" s="6" t="n">
        <v>7</v>
      </c>
      <c r="B8" s="6" t="s">
        <v>501</v>
      </c>
      <c r="C8" s="6" t="s">
        <v>463</v>
      </c>
      <c r="D8" s="6" t="s">
        <v>505</v>
      </c>
      <c r="E8" s="6" t="s">
        <v>506</v>
      </c>
      <c r="F8" s="6" t="s">
        <v>118</v>
      </c>
      <c r="G8" s="6" t="s">
        <v>507</v>
      </c>
    </row>
    <row r="9" customFormat="false" ht="23.85" hidden="false" customHeight="false" outlineLevel="0" collapsed="false">
      <c r="A9" s="6" t="n">
        <v>8</v>
      </c>
      <c r="B9" s="6" t="s">
        <v>501</v>
      </c>
      <c r="C9" s="6" t="s">
        <v>508</v>
      </c>
      <c r="D9" s="6" t="s">
        <v>509</v>
      </c>
      <c r="E9" s="6" t="s">
        <v>510</v>
      </c>
      <c r="F9" s="6" t="s">
        <v>118</v>
      </c>
      <c r="G9" s="6" t="s">
        <v>511</v>
      </c>
    </row>
    <row r="10" customFormat="false" ht="23.85" hidden="false" customHeight="false" outlineLevel="0" collapsed="false">
      <c r="A10" s="6" t="n">
        <v>9</v>
      </c>
      <c r="B10" s="6" t="s">
        <v>501</v>
      </c>
      <c r="C10" s="6" t="s">
        <v>512</v>
      </c>
      <c r="D10" s="6" t="s">
        <v>513</v>
      </c>
      <c r="E10" s="6" t="s">
        <v>68</v>
      </c>
      <c r="F10" s="6" t="s">
        <v>514</v>
      </c>
      <c r="G10" s="6" t="s">
        <v>515</v>
      </c>
    </row>
    <row r="11" customFormat="false" ht="23.85" hidden="false" customHeight="false" outlineLevel="0" collapsed="false">
      <c r="A11" s="6" t="n">
        <v>10</v>
      </c>
      <c r="B11" s="6" t="s">
        <v>516</v>
      </c>
      <c r="C11" s="6" t="s">
        <v>517</v>
      </c>
      <c r="D11" s="6" t="s">
        <v>518</v>
      </c>
      <c r="E11" s="6" t="s">
        <v>519</v>
      </c>
      <c r="F11" s="6" t="s">
        <v>118</v>
      </c>
      <c r="G11" s="6" t="s">
        <v>520</v>
      </c>
    </row>
    <row r="12" customFormat="false" ht="23.85" hidden="false" customHeight="false" outlineLevel="0" collapsed="false">
      <c r="A12" s="6" t="n">
        <v>11</v>
      </c>
      <c r="B12" s="6" t="s">
        <v>521</v>
      </c>
      <c r="C12" s="6" t="s">
        <v>522</v>
      </c>
      <c r="D12" s="6" t="s">
        <v>523</v>
      </c>
      <c r="E12" s="6" t="s">
        <v>519</v>
      </c>
      <c r="F12" s="6" t="s">
        <v>118</v>
      </c>
      <c r="G12" s="6" t="s">
        <v>524</v>
      </c>
    </row>
    <row r="13" customFormat="false" ht="35.05" hidden="false" customHeight="false" outlineLevel="0" collapsed="false">
      <c r="A13" s="6" t="n">
        <v>12</v>
      </c>
      <c r="B13" s="6" t="s">
        <v>525</v>
      </c>
      <c r="C13" s="6" t="s">
        <v>526</v>
      </c>
      <c r="D13" s="6" t="s">
        <v>527</v>
      </c>
      <c r="E13" s="6" t="s">
        <v>519</v>
      </c>
      <c r="F13" s="6" t="s">
        <v>528</v>
      </c>
      <c r="G13" s="6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5" t="s">
        <v>530</v>
      </c>
      <c r="B1" s="5" t="s">
        <v>531</v>
      </c>
      <c r="C1" s="5" t="s">
        <v>532</v>
      </c>
      <c r="D1" s="5" t="s">
        <v>533</v>
      </c>
      <c r="E1" s="5" t="s">
        <v>534</v>
      </c>
    </row>
    <row r="2" customFormat="false" ht="23.85" hidden="false" customHeight="false" outlineLevel="0" collapsed="false">
      <c r="A2" s="6" t="n">
        <v>1</v>
      </c>
      <c r="B2" s="6" t="s">
        <v>535</v>
      </c>
      <c r="C2" s="6" t="s">
        <v>536</v>
      </c>
      <c r="D2" s="6" t="s">
        <v>537</v>
      </c>
      <c r="E2" s="6" t="s">
        <v>538</v>
      </c>
    </row>
    <row r="3" customFormat="false" ht="46.25" hidden="false" customHeight="false" outlineLevel="0" collapsed="false">
      <c r="A3" s="6" t="n">
        <v>2</v>
      </c>
      <c r="B3" s="6" t="s">
        <v>539</v>
      </c>
      <c r="C3" s="6" t="s">
        <v>540</v>
      </c>
      <c r="D3" s="6" t="s">
        <v>541</v>
      </c>
      <c r="E3" s="6" t="s">
        <v>542</v>
      </c>
    </row>
    <row r="4" customFormat="false" ht="35.05" hidden="false" customHeight="false" outlineLevel="0" collapsed="false">
      <c r="A4" s="6" t="n">
        <v>3</v>
      </c>
      <c r="B4" s="6" t="s">
        <v>543</v>
      </c>
      <c r="C4" s="6" t="s">
        <v>544</v>
      </c>
      <c r="D4" s="6" t="s">
        <v>537</v>
      </c>
      <c r="E4" s="6" t="s">
        <v>48</v>
      </c>
    </row>
    <row r="5" customFormat="false" ht="35.05" hidden="false" customHeight="false" outlineLevel="0" collapsed="false">
      <c r="A5" s="6" t="n">
        <v>4</v>
      </c>
      <c r="B5" s="6" t="s">
        <v>545</v>
      </c>
      <c r="C5" s="6" t="s">
        <v>546</v>
      </c>
      <c r="D5" s="6" t="s">
        <v>547</v>
      </c>
      <c r="E5" s="6" t="s">
        <v>548</v>
      </c>
    </row>
    <row r="6" customFormat="false" ht="23.85" hidden="false" customHeight="false" outlineLevel="0" collapsed="false">
      <c r="A6" s="6" t="n">
        <v>5</v>
      </c>
      <c r="B6" s="6" t="s">
        <v>549</v>
      </c>
      <c r="C6" s="6" t="s">
        <v>550</v>
      </c>
      <c r="D6" s="6" t="s">
        <v>551</v>
      </c>
      <c r="E6" s="6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2026-10-23T18:00:14Z</dcterms:created>
  <dc:creator>openpyxl</dc:creator>
  <dc:description/>
  <dc:language>en-US</dc:language>
  <cp:lastModifiedBy/>
  <dcterms:modified xsi:type="dcterms:W3CDTF">2026-10-23T18:00:15Z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